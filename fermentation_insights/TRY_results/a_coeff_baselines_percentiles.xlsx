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fermentation_insights\fermentation_insights\TRY_results\"/>
    </mc:Choice>
  </mc:AlternateContent>
  <xr:revisionPtr revIDLastSave="0" documentId="13_ncr:1_{E791B1AD-1BC5-4B91-A557-B169CC330E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23" i="1"/>
  <c r="H24" i="1"/>
  <c r="H25" i="1"/>
  <c r="H22" i="1"/>
  <c r="H19" i="1"/>
  <c r="H20" i="1"/>
  <c r="H21" i="1"/>
  <c r="H18" i="1"/>
  <c r="H15" i="1"/>
  <c r="H16" i="1"/>
  <c r="H17" i="1"/>
  <c r="H14" i="1"/>
  <c r="H11" i="1"/>
  <c r="H12" i="1"/>
  <c r="H13" i="1"/>
  <c r="H10" i="1"/>
  <c r="H7" i="1"/>
  <c r="H8" i="1"/>
  <c r="H9" i="1"/>
  <c r="H6" i="1"/>
  <c r="H3" i="1"/>
  <c r="H5" i="1"/>
  <c r="H2" i="1"/>
</calcChain>
</file>

<file path=xl/sharedStrings.xml><?xml version="1.0" encoding="utf-8"?>
<sst xmlns="http://schemas.openxmlformats.org/spreadsheetml/2006/main" count="54" uniqueCount="16">
  <si>
    <t>product</t>
  </si>
  <si>
    <t>feedstock</t>
  </si>
  <si>
    <t>baseline</t>
  </si>
  <si>
    <t>5th</t>
  </si>
  <si>
    <t>50th</t>
  </si>
  <si>
    <t>95th</t>
  </si>
  <si>
    <t>TAL</t>
  </si>
  <si>
    <t>glucose</t>
  </si>
  <si>
    <t>cornstover</t>
  </si>
  <si>
    <t>sugarcane</t>
  </si>
  <si>
    <t>corn</t>
  </si>
  <si>
    <t>TAL_SA</t>
  </si>
  <si>
    <t>HP</t>
  </si>
  <si>
    <t>HP_neutral</t>
  </si>
  <si>
    <t>HP_hexanol</t>
  </si>
  <si>
    <t>HP_neutral_hexanol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</si>
</sst>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H4" sqref="H4"/>
    </sheetView>
  </sheetViews>
  <sheetFormatPr defaultRowHeight="14.5" x14ac:dyDescent="0.35"/>
  <cols>
    <col min="2" max="2" width="28.26953125" customWidth="1"/>
    <col min="4" max="6" width="8.7265625" style="3"/>
    <col min="8" max="8" width="8.7265625" style="4"/>
    <col min="12" max="12" width="8.7265625" style="3"/>
  </cols>
  <sheetData>
    <row r="1" spans="1:12" x14ac:dyDescent="0.35">
      <c r="B1" s="1" t="s">
        <v>0</v>
      </c>
      <c r="C1" s="1" t="s">
        <v>1</v>
      </c>
      <c r="D1" s="2" t="s">
        <v>2</v>
      </c>
      <c r="E1" s="2" t="s">
        <v>3</v>
      </c>
      <c r="F1" s="2" t="s">
        <v>5</v>
      </c>
      <c r="L1" s="2" t="s">
        <v>4</v>
      </c>
    </row>
    <row r="2" spans="1:12" x14ac:dyDescent="0.35">
      <c r="A2" s="1">
        <v>0</v>
      </c>
      <c r="B2" t="s">
        <v>6</v>
      </c>
      <c r="C2" t="s">
        <v>7</v>
      </c>
      <c r="D2" s="3">
        <v>-9.3679450683223572E-2</v>
      </c>
      <c r="E2" s="3">
        <v>-9.2582264071253834E-2</v>
      </c>
      <c r="F2" s="3">
        <v>0.18752000974371591</v>
      </c>
      <c r="H2" s="4">
        <f>ABS(D2-D$2)/D$2</f>
        <v>0</v>
      </c>
      <c r="I2" s="4"/>
      <c r="L2" s="3">
        <v>4.3366435929635197E-2</v>
      </c>
    </row>
    <row r="3" spans="1:12" x14ac:dyDescent="0.35">
      <c r="A3" s="1">
        <v>1</v>
      </c>
      <c r="B3" t="s">
        <v>6</v>
      </c>
      <c r="C3" t="s">
        <v>8</v>
      </c>
      <c r="D3" s="3">
        <v>-0.13073398809803979</v>
      </c>
      <c r="E3" s="3">
        <v>-0.14738255124807201</v>
      </c>
      <c r="F3" s="3">
        <v>0.1632184050975137</v>
      </c>
      <c r="H3" s="4">
        <f t="shared" ref="H3:J5" si="0">ABS(D3-D$2)/D$2</f>
        <v>-0.39554605780210955</v>
      </c>
      <c r="I3" s="4"/>
      <c r="L3" s="3">
        <v>1.483511389322179E-2</v>
      </c>
    </row>
    <row r="4" spans="1:12" x14ac:dyDescent="0.35">
      <c r="A4" s="1">
        <v>2</v>
      </c>
      <c r="B4" t="s">
        <v>6</v>
      </c>
      <c r="C4" t="s">
        <v>9</v>
      </c>
      <c r="D4" s="3">
        <v>6.4529275980563752E-2</v>
      </c>
      <c r="E4" s="3">
        <v>-2.390221027693628E-2</v>
      </c>
      <c r="F4" s="3">
        <v>0.37393064420103023</v>
      </c>
      <c r="H4" s="4">
        <f>ABS(D4-D$2)/D$2</f>
        <v>-1.6888306401237243</v>
      </c>
      <c r="I4" s="4"/>
      <c r="L4" s="3">
        <v>0.18921810643784959</v>
      </c>
    </row>
    <row r="5" spans="1:12" x14ac:dyDescent="0.35">
      <c r="A5" s="1">
        <v>3</v>
      </c>
      <c r="B5" t="s">
        <v>6</v>
      </c>
      <c r="C5" t="s">
        <v>10</v>
      </c>
      <c r="D5" s="3">
        <v>-0.1227162175344394</v>
      </c>
      <c r="E5" s="3">
        <v>-0.1475885349498943</v>
      </c>
      <c r="F5" s="3">
        <v>0.16954615699413031</v>
      </c>
      <c r="H5" s="4">
        <f t="shared" si="0"/>
        <v>-0.3099587651234576</v>
      </c>
      <c r="I5" s="4"/>
      <c r="L5" s="3">
        <v>2.1029126714417451E-2</v>
      </c>
    </row>
    <row r="6" spans="1:12" x14ac:dyDescent="0.35">
      <c r="A6" s="1">
        <v>4</v>
      </c>
      <c r="B6" t="s">
        <v>11</v>
      </c>
      <c r="C6" t="s">
        <v>7</v>
      </c>
      <c r="D6" s="3">
        <v>1.5719062716477139</v>
      </c>
      <c r="E6" s="3">
        <v>1.326342242695129</v>
      </c>
      <c r="F6" s="3">
        <v>2.1720917641676021</v>
      </c>
      <c r="H6" s="4">
        <f>ABS(D6-D$6)/D$6</f>
        <v>0</v>
      </c>
      <c r="I6" s="4"/>
      <c r="L6" s="3">
        <v>1.709420025734383</v>
      </c>
    </row>
    <row r="7" spans="1:12" x14ac:dyDescent="0.35">
      <c r="A7" s="1">
        <v>5</v>
      </c>
      <c r="B7" t="s">
        <v>11</v>
      </c>
      <c r="C7" t="s">
        <v>8</v>
      </c>
      <c r="D7" s="3">
        <v>1.5188567500392409</v>
      </c>
      <c r="E7" s="3">
        <v>1.155438347705029</v>
      </c>
      <c r="F7" s="3">
        <v>2.0501010718874642</v>
      </c>
      <c r="H7" s="4">
        <f t="shared" ref="H7:J9" si="1">ABS(D7-D$6)/D$6</f>
        <v>3.3748527227940292E-2</v>
      </c>
      <c r="I7" s="4"/>
      <c r="L7" s="3">
        <v>1.5572450109589611</v>
      </c>
    </row>
    <row r="8" spans="1:12" x14ac:dyDescent="0.35">
      <c r="A8" s="1">
        <v>6</v>
      </c>
      <c r="B8" t="s">
        <v>11</v>
      </c>
      <c r="C8" t="s">
        <v>9</v>
      </c>
      <c r="D8" s="3">
        <v>2.403508314691063</v>
      </c>
      <c r="E8" s="3">
        <v>1.5116723342073479</v>
      </c>
      <c r="F8" s="3">
        <v>3.120486416925432</v>
      </c>
      <c r="H8" s="4">
        <f t="shared" si="1"/>
        <v>0.52904047654930575</v>
      </c>
      <c r="I8" s="4"/>
      <c r="L8" s="3">
        <v>2.193270698269715</v>
      </c>
    </row>
    <row r="9" spans="1:12" x14ac:dyDescent="0.35">
      <c r="A9" s="1">
        <v>7</v>
      </c>
      <c r="B9" t="s">
        <v>11</v>
      </c>
      <c r="C9" t="s">
        <v>10</v>
      </c>
      <c r="D9" s="3">
        <v>1.758467759808986</v>
      </c>
      <c r="E9" s="3">
        <v>1.188028884180534</v>
      </c>
      <c r="F9" s="3">
        <v>2.0756075565134822</v>
      </c>
      <c r="H9" s="4">
        <f t="shared" si="1"/>
        <v>0.11868486787428702</v>
      </c>
      <c r="I9" s="4"/>
      <c r="L9" s="3">
        <v>1.6000607759843199</v>
      </c>
    </row>
    <row r="10" spans="1:12" x14ac:dyDescent="0.35">
      <c r="A10" s="1">
        <v>8</v>
      </c>
      <c r="B10" t="s">
        <v>12</v>
      </c>
      <c r="C10" t="s">
        <v>7</v>
      </c>
      <c r="D10" s="3">
        <v>0.1183744012666984</v>
      </c>
      <c r="E10" s="3">
        <v>0.11639880465853659</v>
      </c>
      <c r="F10" s="3">
        <v>0.16309943658345519</v>
      </c>
      <c r="H10" s="4">
        <f>ABS(D10-D$10)/D$10</f>
        <v>0</v>
      </c>
      <c r="I10" s="4"/>
      <c r="L10" s="3">
        <v>0.13960211503919689</v>
      </c>
    </row>
    <row r="11" spans="1:12" x14ac:dyDescent="0.35">
      <c r="A11" s="1">
        <v>9</v>
      </c>
      <c r="B11" t="s">
        <v>12</v>
      </c>
      <c r="C11" t="s">
        <v>8</v>
      </c>
      <c r="D11" s="3">
        <v>0.1089814407458168</v>
      </c>
      <c r="E11" s="3">
        <v>7.2765481537090768E-2</v>
      </c>
      <c r="F11" s="3">
        <v>0.1785454442557752</v>
      </c>
      <c r="H11" s="4">
        <f t="shared" ref="H11:J13" si="2">ABS(D11-D$10)/D$10</f>
        <v>7.934959265153281E-2</v>
      </c>
      <c r="I11" s="4"/>
      <c r="L11" s="3">
        <v>0.1230408527731542</v>
      </c>
    </row>
    <row r="12" spans="1:12" x14ac:dyDescent="0.35">
      <c r="A12" s="1">
        <v>10</v>
      </c>
      <c r="B12" t="s">
        <v>12</v>
      </c>
      <c r="C12" t="s">
        <v>9</v>
      </c>
      <c r="D12" s="3">
        <v>0.23280644402155129</v>
      </c>
      <c r="E12" s="3">
        <v>0.17110117431471689</v>
      </c>
      <c r="F12" s="3">
        <v>0.2887127721721624</v>
      </c>
      <c r="H12" s="4">
        <f t="shared" si="2"/>
        <v>0.96669585256897428</v>
      </c>
      <c r="I12" s="4"/>
      <c r="L12" s="3">
        <v>0.22485919207229371</v>
      </c>
    </row>
    <row r="13" spans="1:12" x14ac:dyDescent="0.35">
      <c r="A13" s="1">
        <v>11</v>
      </c>
      <c r="B13" t="s">
        <v>12</v>
      </c>
      <c r="C13" t="s">
        <v>10</v>
      </c>
      <c r="D13" s="3">
        <v>0.12896284014939591</v>
      </c>
      <c r="E13" s="3">
        <v>8.0934804454870474E-2</v>
      </c>
      <c r="F13" s="3">
        <v>0.13708712600488121</v>
      </c>
      <c r="H13" s="4">
        <f t="shared" si="2"/>
        <v>8.9448721762416125E-2</v>
      </c>
      <c r="I13" s="4"/>
      <c r="L13" s="3">
        <v>0.10874761191708709</v>
      </c>
    </row>
    <row r="14" spans="1:12" x14ac:dyDescent="0.35">
      <c r="A14" s="1">
        <v>12</v>
      </c>
      <c r="B14" t="s">
        <v>13</v>
      </c>
      <c r="C14" t="s">
        <v>7</v>
      </c>
      <c r="D14" s="3">
        <v>0.30444804553287008</v>
      </c>
      <c r="E14" s="3">
        <v>0.28723278546717301</v>
      </c>
      <c r="F14" s="3">
        <v>0.35736231820904207</v>
      </c>
      <c r="H14" s="4">
        <f>ABS(D14-D$14)/D$14</f>
        <v>0</v>
      </c>
      <c r="I14" s="4"/>
      <c r="L14" s="3">
        <v>0.32173065524807959</v>
      </c>
    </row>
    <row r="15" spans="1:12" x14ac:dyDescent="0.35">
      <c r="A15" s="1">
        <v>13</v>
      </c>
      <c r="B15" t="s">
        <v>13</v>
      </c>
      <c r="C15" t="s">
        <v>8</v>
      </c>
      <c r="D15" s="3">
        <v>0.30095404644506202</v>
      </c>
      <c r="E15" s="3">
        <v>0.2528471797025274</v>
      </c>
      <c r="F15" s="3">
        <v>0.36978440765437931</v>
      </c>
      <c r="H15" s="4">
        <f t="shared" ref="H15:J17" si="3">ABS(D15-D$14)/D$14</f>
        <v>1.1476503590924943E-2</v>
      </c>
      <c r="I15" s="4"/>
      <c r="L15" s="3">
        <v>0.3052494868683896</v>
      </c>
    </row>
    <row r="16" spans="1:12" x14ac:dyDescent="0.35">
      <c r="A16" s="1">
        <v>14</v>
      </c>
      <c r="B16" t="s">
        <v>13</v>
      </c>
      <c r="C16" t="s">
        <v>9</v>
      </c>
      <c r="D16" s="3">
        <v>0.42766667654199558</v>
      </c>
      <c r="E16" s="3">
        <v>0.36873876916709131</v>
      </c>
      <c r="F16" s="3">
        <v>0.5005109564506498</v>
      </c>
      <c r="H16" s="4">
        <f t="shared" si="3"/>
        <v>0.40472794231100445</v>
      </c>
      <c r="I16" s="4"/>
      <c r="L16" s="3">
        <v>0.43432624645576901</v>
      </c>
    </row>
    <row r="17" spans="1:12" x14ac:dyDescent="0.35">
      <c r="A17" s="1">
        <v>15</v>
      </c>
      <c r="B17" t="s">
        <v>13</v>
      </c>
      <c r="C17" t="s">
        <v>10</v>
      </c>
      <c r="D17" s="3">
        <v>0.31736926676797489</v>
      </c>
      <c r="E17" s="3">
        <v>0.25727754571412648</v>
      </c>
      <c r="F17" s="3">
        <v>0.33458567805452938</v>
      </c>
      <c r="H17" s="4">
        <f t="shared" si="3"/>
        <v>4.2441465546244582E-2</v>
      </c>
      <c r="I17" s="4"/>
      <c r="L17" s="3">
        <v>0.29250827781347832</v>
      </c>
    </row>
    <row r="18" spans="1:12" x14ac:dyDescent="0.35">
      <c r="A18" s="1">
        <v>16</v>
      </c>
      <c r="B18" t="s">
        <v>14</v>
      </c>
      <c r="C18" t="s">
        <v>7</v>
      </c>
      <c r="D18" s="3">
        <v>0.20704307711349179</v>
      </c>
      <c r="E18" s="3">
        <v>0.20010670590599219</v>
      </c>
      <c r="F18" s="3">
        <v>0.25899092770622861</v>
      </c>
      <c r="H18" s="4">
        <f>ABS(D18-D$18)/D$18</f>
        <v>0</v>
      </c>
      <c r="I18" s="4"/>
      <c r="L18" s="3">
        <v>0.22807200548761011</v>
      </c>
    </row>
    <row r="19" spans="1:12" x14ac:dyDescent="0.35">
      <c r="A19" s="1">
        <v>17</v>
      </c>
      <c r="B19" t="s">
        <v>14</v>
      </c>
      <c r="C19" t="s">
        <v>8</v>
      </c>
      <c r="D19" s="3">
        <v>0.26527888264549088</v>
      </c>
      <c r="E19" s="3">
        <v>0.16133102940630159</v>
      </c>
      <c r="F19" s="3">
        <v>0.34272909003202667</v>
      </c>
      <c r="H19" s="4">
        <f t="shared" ref="H19:J21" si="4">ABS(D19-D$18)/D$18</f>
        <v>0.28127386022222234</v>
      </c>
      <c r="I19" s="4"/>
      <c r="L19" s="3">
        <v>0.25919175253236237</v>
      </c>
    </row>
    <row r="20" spans="1:12" x14ac:dyDescent="0.35">
      <c r="A20" s="1">
        <v>18</v>
      </c>
      <c r="B20" t="s">
        <v>14</v>
      </c>
      <c r="C20" t="s">
        <v>9</v>
      </c>
      <c r="D20" s="3">
        <v>0.39150567177913542</v>
      </c>
      <c r="E20" s="3">
        <v>0.26945906619803101</v>
      </c>
      <c r="F20" s="3">
        <v>0.43518880727046949</v>
      </c>
      <c r="H20" s="4">
        <f t="shared" si="4"/>
        <v>0.89093823970037622</v>
      </c>
      <c r="I20" s="4"/>
      <c r="L20" s="3">
        <v>0.34505489318241123</v>
      </c>
    </row>
    <row r="21" spans="1:12" x14ac:dyDescent="0.35">
      <c r="A21" s="1">
        <v>19</v>
      </c>
      <c r="B21" t="s">
        <v>14</v>
      </c>
      <c r="C21" t="s">
        <v>10</v>
      </c>
      <c r="D21" s="3">
        <v>0.22469864149997759</v>
      </c>
      <c r="E21" s="3">
        <v>0.19358917771388709</v>
      </c>
      <c r="F21" s="3">
        <v>0.2756404923711705</v>
      </c>
      <c r="H21" s="4">
        <f t="shared" si="4"/>
        <v>8.5274835713573777E-2</v>
      </c>
      <c r="I21" s="4"/>
      <c r="L21" s="3">
        <v>0.23358978481970519</v>
      </c>
    </row>
    <row r="22" spans="1:12" x14ac:dyDescent="0.35">
      <c r="A22" s="1">
        <v>20</v>
      </c>
      <c r="B22" t="s">
        <v>15</v>
      </c>
      <c r="C22" t="s">
        <v>7</v>
      </c>
      <c r="D22" s="3">
        <v>0.39431943877960313</v>
      </c>
      <c r="E22" s="3">
        <v>0.36897011945494701</v>
      </c>
      <c r="F22" s="3">
        <v>0.44804142689428827</v>
      </c>
      <c r="H22" s="4">
        <f>ABS(D22-D$22)/D$22</f>
        <v>0</v>
      </c>
      <c r="I22" s="4"/>
      <c r="L22" s="3">
        <v>0.41136399328107781</v>
      </c>
    </row>
    <row r="23" spans="1:12" x14ac:dyDescent="0.35">
      <c r="A23" s="1">
        <v>21</v>
      </c>
      <c r="B23" t="s">
        <v>15</v>
      </c>
      <c r="C23" t="s">
        <v>8</v>
      </c>
      <c r="D23" s="3">
        <v>0.44674987580908809</v>
      </c>
      <c r="E23" s="3">
        <v>0.36646316456654321</v>
      </c>
      <c r="F23" s="3">
        <v>0.4967078514455468</v>
      </c>
      <c r="H23" s="4">
        <f t="shared" ref="H23:J25" si="5">ABS(D23-D$22)/D$22</f>
        <v>0.13296437322936519</v>
      </c>
      <c r="I23" s="4"/>
      <c r="L23" s="3">
        <v>0.42892219568534801</v>
      </c>
    </row>
    <row r="24" spans="1:12" x14ac:dyDescent="0.35">
      <c r="A24" s="1">
        <v>22</v>
      </c>
      <c r="B24" t="s">
        <v>15</v>
      </c>
      <c r="C24" t="s">
        <v>9</v>
      </c>
      <c r="D24" s="3">
        <v>0.59580733530882801</v>
      </c>
      <c r="E24" s="3">
        <v>0.5290353479735167</v>
      </c>
      <c r="F24" s="3">
        <v>0.71477709308543047</v>
      </c>
      <c r="H24" s="4">
        <f t="shared" si="5"/>
        <v>0.51097632202160459</v>
      </c>
      <c r="I24" s="4"/>
      <c r="L24" s="3">
        <v>0.61191459270154436</v>
      </c>
    </row>
    <row r="25" spans="1:12" x14ac:dyDescent="0.35">
      <c r="A25" s="1">
        <v>23</v>
      </c>
      <c r="B25" t="s">
        <v>15</v>
      </c>
      <c r="C25" t="s">
        <v>10</v>
      </c>
      <c r="D25" s="3">
        <v>0.41106097454878748</v>
      </c>
      <c r="E25" s="3">
        <v>0.3589602043179792</v>
      </c>
      <c r="F25" s="3">
        <v>0.4831729845250694</v>
      </c>
      <c r="H25" s="4">
        <f t="shared" si="5"/>
        <v>4.245678534387877E-2</v>
      </c>
      <c r="I25" s="4"/>
      <c r="L25" s="3">
        <v>0.43427451280191859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Bhagwat, Sarang Sunil</cp:lastModifiedBy>
  <dcterms:created xsi:type="dcterms:W3CDTF">2024-12-23T21:22:27Z</dcterms:created>
  <dcterms:modified xsi:type="dcterms:W3CDTF">2024-12-24T00:16:30Z</dcterms:modified>
</cp:coreProperties>
</file>