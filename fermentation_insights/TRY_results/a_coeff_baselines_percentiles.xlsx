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fermentation_insights\fermentation_insights\TRY_results\"/>
    </mc:Choice>
  </mc:AlternateContent>
  <xr:revisionPtr revIDLastSave="0" documentId="13_ncr:1_{2592A58B-F771-4E92-97DF-12225B5E54B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" i="1"/>
  <c r="L20" i="1"/>
  <c r="J5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L15" i="1"/>
  <c r="K15" i="1"/>
  <c r="J15" i="1"/>
  <c r="L14" i="1"/>
  <c r="K14" i="1"/>
  <c r="J14" i="1"/>
  <c r="L13" i="1"/>
  <c r="K13" i="1"/>
  <c r="J13" i="1"/>
  <c r="L12" i="1"/>
  <c r="K12" i="1"/>
  <c r="J12" i="1"/>
  <c r="L11" i="1"/>
  <c r="K11" i="1"/>
  <c r="J11" i="1"/>
  <c r="L10" i="1"/>
  <c r="K10" i="1"/>
  <c r="J10" i="1"/>
  <c r="L9" i="1"/>
  <c r="K9" i="1"/>
  <c r="J9" i="1"/>
  <c r="L8" i="1"/>
  <c r="K8" i="1"/>
  <c r="J8" i="1"/>
  <c r="L7" i="1"/>
  <c r="K7" i="1"/>
  <c r="J7" i="1"/>
  <c r="L6" i="1"/>
  <c r="K6" i="1"/>
  <c r="J6" i="1"/>
  <c r="L5" i="1"/>
  <c r="K5" i="1"/>
  <c r="L4" i="1"/>
  <c r="K4" i="1"/>
  <c r="J4" i="1"/>
  <c r="L3" i="1"/>
  <c r="K3" i="1"/>
  <c r="J3" i="1"/>
  <c r="L2" i="1"/>
  <c r="K2" i="1"/>
  <c r="J2" i="1"/>
</calcChain>
</file>

<file path=xl/sharedStrings.xml><?xml version="1.0" encoding="utf-8"?>
<sst xmlns="http://schemas.openxmlformats.org/spreadsheetml/2006/main" count="54" uniqueCount="16">
  <si>
    <t>product</t>
  </si>
  <si>
    <t>feedstock</t>
  </si>
  <si>
    <t>baseline</t>
  </si>
  <si>
    <t>5th</t>
  </si>
  <si>
    <t>50th</t>
  </si>
  <si>
    <t>95th</t>
  </si>
  <si>
    <t>TAL</t>
  </si>
  <si>
    <t>glucose</t>
  </si>
  <si>
    <t>sugarcane</t>
  </si>
  <si>
    <t>cornstover</t>
  </si>
  <si>
    <t>corn</t>
  </si>
  <si>
    <t>TAL_SA</t>
  </si>
  <si>
    <t>HP</t>
  </si>
  <si>
    <t>HP_neutral</t>
  </si>
  <si>
    <t>HP_hexanol</t>
  </si>
  <si>
    <t>HP_neutral_hexanol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</si>
</sst>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9" fontId="0" fillId="0" borderId="0" xfId="1" applyFon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selection activeCell="R24" sqref="R24"/>
    </sheetView>
  </sheetViews>
  <sheetFormatPr defaultRowHeight="14.5" x14ac:dyDescent="0.35"/>
  <cols>
    <col min="2" max="2" width="19.1796875" customWidth="1"/>
    <col min="3" max="3" width="14.453125" customWidth="1"/>
    <col min="4" max="6" width="8.7265625" style="3"/>
  </cols>
  <sheetData>
    <row r="1" spans="1:12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5</v>
      </c>
      <c r="H1" s="2" t="s">
        <v>4</v>
      </c>
    </row>
    <row r="2" spans="1:12" x14ac:dyDescent="0.35">
      <c r="A2" s="1">
        <v>0</v>
      </c>
      <c r="B2" t="s">
        <v>6</v>
      </c>
      <c r="C2" t="s">
        <v>7</v>
      </c>
      <c r="D2" s="3">
        <v>-9.8824605540148047E-2</v>
      </c>
      <c r="E2" s="3">
        <v>-9.2582264071253834E-2</v>
      </c>
      <c r="F2" s="3">
        <v>0.18752000974371591</v>
      </c>
      <c r="H2" s="3">
        <v>4.3366435929635197E-2</v>
      </c>
      <c r="I2">
        <f>IF(E2&lt;D2,IF(F2&gt;D2,1,0),0)</f>
        <v>0</v>
      </c>
      <c r="J2" s="4">
        <f>1-D2/D$2</f>
        <v>0</v>
      </c>
      <c r="K2" s="4">
        <f t="shared" ref="K2:L5" si="0">1-E2/E$2</f>
        <v>0</v>
      </c>
      <c r="L2" s="4">
        <f t="shared" si="0"/>
        <v>0</v>
      </c>
    </row>
    <row r="3" spans="1:12" s="6" customFormat="1" x14ac:dyDescent="0.35">
      <c r="A3" s="5">
        <v>1</v>
      </c>
      <c r="B3" s="6" t="s">
        <v>6</v>
      </c>
      <c r="C3" s="6" t="s">
        <v>8</v>
      </c>
      <c r="D3" s="7">
        <v>7.9922838689076778E-2</v>
      </c>
      <c r="E3" s="7">
        <v>-2.390221027693628E-2</v>
      </c>
      <c r="F3" s="7">
        <v>0.37393064420103023</v>
      </c>
      <c r="H3" s="7">
        <v>0.18921810643784959</v>
      </c>
      <c r="I3">
        <f t="shared" ref="I3:I25" si="1">IF(E3&lt;D3,IF(F3&gt;D3,1,0),0)</f>
        <v>1</v>
      </c>
      <c r="J3" s="8">
        <f t="shared" ref="J3:J5" si="2">1-D3/D$2</f>
        <v>1.8087342039185543</v>
      </c>
      <c r="K3" s="8">
        <f t="shared" si="0"/>
        <v>0.74182733035627124</v>
      </c>
      <c r="L3" s="8">
        <f t="shared" si="0"/>
        <v>-0.9940839631572238</v>
      </c>
    </row>
    <row r="4" spans="1:12" x14ac:dyDescent="0.35">
      <c r="A4" s="1">
        <v>2</v>
      </c>
      <c r="B4" t="s">
        <v>6</v>
      </c>
      <c r="C4" t="s">
        <v>9</v>
      </c>
      <c r="D4" s="3">
        <v>-0.1035624620383961</v>
      </c>
      <c r="E4" s="3">
        <v>-6.636283266382631E-2</v>
      </c>
      <c r="F4" s="3">
        <v>0.22833455956170351</v>
      </c>
      <c r="H4" s="3">
        <v>9.859972807136215E-2</v>
      </c>
      <c r="I4">
        <f t="shared" si="1"/>
        <v>0</v>
      </c>
      <c r="J4" s="4">
        <f t="shared" si="2"/>
        <v>-4.7942073457842183E-2</v>
      </c>
      <c r="K4" s="4">
        <f t="shared" si="0"/>
        <v>0.28320144976416151</v>
      </c>
      <c r="L4" s="4">
        <f t="shared" si="0"/>
        <v>-0.21765437125226761</v>
      </c>
    </row>
    <row r="5" spans="1:12" x14ac:dyDescent="0.35">
      <c r="A5" s="1">
        <v>3</v>
      </c>
      <c r="B5" t="s">
        <v>6</v>
      </c>
      <c r="C5" t="s">
        <v>10</v>
      </c>
      <c r="D5" s="3">
        <v>-0.1048906526939955</v>
      </c>
      <c r="E5" s="3">
        <v>-0.1475885349498943</v>
      </c>
      <c r="F5" s="3">
        <v>0.16954615699413031</v>
      </c>
      <c r="H5" s="3">
        <v>2.1029126714417451E-2</v>
      </c>
      <c r="I5">
        <f t="shared" si="1"/>
        <v>1</v>
      </c>
      <c r="J5" s="4">
        <f>1-D5/D$2</f>
        <v>-6.1381951596893414E-2</v>
      </c>
      <c r="K5" s="4">
        <f t="shared" si="0"/>
        <v>-0.5941339999668418</v>
      </c>
      <c r="L5" s="4">
        <f t="shared" si="0"/>
        <v>9.5850318982760863E-2</v>
      </c>
    </row>
    <row r="6" spans="1:12" x14ac:dyDescent="0.35">
      <c r="A6" s="1">
        <v>4</v>
      </c>
      <c r="B6" t="s">
        <v>11</v>
      </c>
      <c r="C6" t="s">
        <v>7</v>
      </c>
      <c r="D6" s="3">
        <v>1.932046158381358</v>
      </c>
      <c r="E6" s="3">
        <v>1.326342242695129</v>
      </c>
      <c r="F6" s="3">
        <v>2.1720917641676021</v>
      </c>
      <c r="H6" s="3">
        <v>1.709420025734383</v>
      </c>
      <c r="I6">
        <f t="shared" si="1"/>
        <v>1</v>
      </c>
      <c r="J6" s="4">
        <f>1-D6/D$6</f>
        <v>0</v>
      </c>
      <c r="K6" s="4">
        <f t="shared" ref="K6:L9" si="3">1-E6/E$6</f>
        <v>0</v>
      </c>
      <c r="L6" s="4">
        <f t="shared" si="3"/>
        <v>0</v>
      </c>
    </row>
    <row r="7" spans="1:12" s="6" customFormat="1" x14ac:dyDescent="0.35">
      <c r="A7" s="5">
        <v>5</v>
      </c>
      <c r="B7" s="6" t="s">
        <v>11</v>
      </c>
      <c r="C7" s="6" t="s">
        <v>8</v>
      </c>
      <c r="D7" s="7">
        <v>2.8878310756629988</v>
      </c>
      <c r="E7" s="7">
        <v>1.7530355944488261</v>
      </c>
      <c r="F7" s="7">
        <v>3.3369194623680629</v>
      </c>
      <c r="H7" s="7">
        <v>2.4297023194806311</v>
      </c>
      <c r="I7">
        <f t="shared" si="1"/>
        <v>1</v>
      </c>
      <c r="J7" s="8">
        <f t="shared" ref="J7:J9" si="4">1-D7/D$6</f>
        <v>-0.49470087095765058</v>
      </c>
      <c r="K7" s="8">
        <f t="shared" si="3"/>
        <v>-0.32170682499462244</v>
      </c>
      <c r="L7" s="8">
        <f t="shared" si="3"/>
        <v>-0.53627002202038687</v>
      </c>
    </row>
    <row r="8" spans="1:12" x14ac:dyDescent="0.35">
      <c r="A8" s="1">
        <v>6</v>
      </c>
      <c r="B8" t="s">
        <v>11</v>
      </c>
      <c r="C8" t="s">
        <v>9</v>
      </c>
      <c r="D8" s="3">
        <v>1.792466003767875</v>
      </c>
      <c r="E8" s="3">
        <v>1.155438347705029</v>
      </c>
      <c r="F8" s="3">
        <v>2.0501010718874642</v>
      </c>
      <c r="H8" s="3">
        <v>1.5572450109589611</v>
      </c>
      <c r="I8">
        <f t="shared" si="1"/>
        <v>1</v>
      </c>
      <c r="J8" s="4">
        <f t="shared" si="4"/>
        <v>7.2244730804165269E-2</v>
      </c>
      <c r="K8" s="4">
        <f t="shared" si="3"/>
        <v>0.12885354133245663</v>
      </c>
      <c r="L8" s="4">
        <f t="shared" si="3"/>
        <v>5.6162770971551312E-2</v>
      </c>
    </row>
    <row r="9" spans="1:12" x14ac:dyDescent="0.35">
      <c r="A9" s="1">
        <v>7</v>
      </c>
      <c r="B9" t="s">
        <v>11</v>
      </c>
      <c r="C9" t="s">
        <v>10</v>
      </c>
      <c r="D9" s="3">
        <v>1.840367071388318</v>
      </c>
      <c r="E9" s="3">
        <v>1.188028892018379</v>
      </c>
      <c r="F9" s="3">
        <v>2.0756075641222842</v>
      </c>
      <c r="H9" s="3">
        <v>1.6000607801904509</v>
      </c>
      <c r="I9">
        <f t="shared" si="1"/>
        <v>1</v>
      </c>
      <c r="J9" s="4">
        <f t="shared" si="4"/>
        <v>4.7451809883179763E-2</v>
      </c>
      <c r="K9" s="4">
        <f t="shared" si="3"/>
        <v>0.10428179562139039</v>
      </c>
      <c r="L9" s="4">
        <f t="shared" si="3"/>
        <v>4.4419946540468991E-2</v>
      </c>
    </row>
    <row r="10" spans="1:12" x14ac:dyDescent="0.35">
      <c r="A10" s="1">
        <v>8</v>
      </c>
      <c r="B10" t="s">
        <v>12</v>
      </c>
      <c r="C10" t="s">
        <v>7</v>
      </c>
      <c r="D10" s="3">
        <v>0.12749387708350829</v>
      </c>
      <c r="E10" s="3">
        <v>0.11639880465853659</v>
      </c>
      <c r="F10" s="3">
        <v>0.16309943658345519</v>
      </c>
      <c r="H10" s="3">
        <v>0.13960211503919689</v>
      </c>
      <c r="I10">
        <f t="shared" si="1"/>
        <v>1</v>
      </c>
      <c r="J10" s="4">
        <f>1-D10/D$10</f>
        <v>0</v>
      </c>
      <c r="K10" s="4">
        <f t="shared" ref="K10:L13" si="5">1-E10/E$10</f>
        <v>0</v>
      </c>
      <c r="L10" s="4">
        <f t="shared" si="5"/>
        <v>0</v>
      </c>
    </row>
    <row r="11" spans="1:12" s="6" customFormat="1" x14ac:dyDescent="0.35">
      <c r="A11" s="5">
        <v>9</v>
      </c>
      <c r="B11" s="6" t="s">
        <v>12</v>
      </c>
      <c r="C11" s="6" t="s">
        <v>8</v>
      </c>
      <c r="D11" s="7">
        <v>0.22547211529057079</v>
      </c>
      <c r="E11" s="7">
        <v>0.17110117431471689</v>
      </c>
      <c r="F11" s="7">
        <v>0.2887127721721624</v>
      </c>
      <c r="H11" s="7">
        <v>0.22485919207229371</v>
      </c>
      <c r="I11">
        <f t="shared" si="1"/>
        <v>1</v>
      </c>
      <c r="J11" s="8">
        <f>1-D11/D$10</f>
        <v>-0.76849367552676195</v>
      </c>
      <c r="K11" s="8">
        <f t="shared" si="5"/>
        <v>-0.46995645545204034</v>
      </c>
      <c r="L11" s="8">
        <f t="shared" si="5"/>
        <v>-0.77016412944156931</v>
      </c>
    </row>
    <row r="12" spans="1:12" x14ac:dyDescent="0.35">
      <c r="A12" s="1">
        <v>10</v>
      </c>
      <c r="B12" t="s">
        <v>12</v>
      </c>
      <c r="C12" t="s">
        <v>9</v>
      </c>
      <c r="D12" s="3">
        <v>0.11274191328236199</v>
      </c>
      <c r="E12" s="3">
        <v>7.2765481537090768E-2</v>
      </c>
      <c r="F12" s="3">
        <v>0.1785454442557752</v>
      </c>
      <c r="H12" s="3">
        <v>0.1230408527731542</v>
      </c>
      <c r="I12">
        <f t="shared" si="1"/>
        <v>1</v>
      </c>
      <c r="J12" s="4">
        <f t="shared" ref="J12:J13" si="6">1-D12/D$10</f>
        <v>0.11570723346568068</v>
      </c>
      <c r="K12" s="4">
        <f t="shared" si="5"/>
        <v>0.37486057738691558</v>
      </c>
      <c r="L12" s="4">
        <f t="shared" si="5"/>
        <v>-9.4703010604310522E-2</v>
      </c>
    </row>
    <row r="13" spans="1:12" x14ac:dyDescent="0.35">
      <c r="A13" s="1">
        <v>11</v>
      </c>
      <c r="B13" t="s">
        <v>12</v>
      </c>
      <c r="C13" t="s">
        <v>10</v>
      </c>
      <c r="D13" s="3">
        <v>0.1044484247359561</v>
      </c>
      <c r="E13" s="3">
        <v>8.0934804454870474E-2</v>
      </c>
      <c r="F13" s="3">
        <v>0.13708712600488121</v>
      </c>
      <c r="H13" s="3">
        <v>0.10874761191708709</v>
      </c>
      <c r="I13">
        <f t="shared" si="1"/>
        <v>1</v>
      </c>
      <c r="J13" s="4">
        <f t="shared" si="6"/>
        <v>0.18075732634954267</v>
      </c>
      <c r="K13" s="4">
        <f t="shared" si="5"/>
        <v>0.30467667007150168</v>
      </c>
      <c r="L13" s="4">
        <f t="shared" si="5"/>
        <v>0.15948743369977203</v>
      </c>
    </row>
    <row r="14" spans="1:12" x14ac:dyDescent="0.35">
      <c r="A14" s="1">
        <v>12</v>
      </c>
      <c r="B14" t="s">
        <v>13</v>
      </c>
      <c r="C14" t="s">
        <v>7</v>
      </c>
      <c r="D14" s="3">
        <v>0.30795327965375341</v>
      </c>
      <c r="E14" s="3">
        <v>0.28723278546717301</v>
      </c>
      <c r="F14" s="3">
        <v>0.35736231820904207</v>
      </c>
      <c r="H14" s="3">
        <v>0.32173065524807959</v>
      </c>
      <c r="I14">
        <f t="shared" si="1"/>
        <v>1</v>
      </c>
      <c r="J14" s="4">
        <f>1-D14/D$14</f>
        <v>0</v>
      </c>
      <c r="K14" s="4">
        <f t="shared" ref="K14:L17" si="7">1-E14/E$14</f>
        <v>0</v>
      </c>
      <c r="L14" s="4">
        <f t="shared" si="7"/>
        <v>0</v>
      </c>
    </row>
    <row r="15" spans="1:12" s="6" customFormat="1" x14ac:dyDescent="0.35">
      <c r="A15" s="5">
        <v>13</v>
      </c>
      <c r="B15" s="6" t="s">
        <v>13</v>
      </c>
      <c r="C15" s="6" t="s">
        <v>8</v>
      </c>
      <c r="D15" s="7">
        <v>0.42492667833145131</v>
      </c>
      <c r="E15" s="7">
        <v>0.36873876916709131</v>
      </c>
      <c r="F15" s="7">
        <v>0.5005109564506498</v>
      </c>
      <c r="H15" s="7">
        <v>0.43432624645576901</v>
      </c>
      <c r="I15">
        <f t="shared" si="1"/>
        <v>1</v>
      </c>
      <c r="J15" s="8">
        <f t="shared" ref="J15:J17" si="8">1-D15/D$14</f>
        <v>-0.37984137986520783</v>
      </c>
      <c r="K15" s="8">
        <f t="shared" si="7"/>
        <v>-0.28376281477531173</v>
      </c>
      <c r="L15" s="8">
        <f t="shared" si="7"/>
        <v>-0.40057004039768884</v>
      </c>
    </row>
    <row r="16" spans="1:12" x14ac:dyDescent="0.35">
      <c r="A16" s="1">
        <v>14</v>
      </c>
      <c r="B16" t="s">
        <v>13</v>
      </c>
      <c r="C16" t="s">
        <v>9</v>
      </c>
      <c r="D16" s="3">
        <v>0.29958287730066241</v>
      </c>
      <c r="E16" s="3">
        <v>0.2528471797025274</v>
      </c>
      <c r="F16" s="3">
        <v>0.36978440765437931</v>
      </c>
      <c r="H16" s="3">
        <v>0.3052494868683896</v>
      </c>
      <c r="I16">
        <f t="shared" si="1"/>
        <v>1</v>
      </c>
      <c r="J16" s="4">
        <f t="shared" si="8"/>
        <v>2.7180754049777378E-2</v>
      </c>
      <c r="K16" s="4">
        <f t="shared" si="7"/>
        <v>0.11971337362731327</v>
      </c>
      <c r="L16" s="4">
        <f t="shared" si="7"/>
        <v>-3.4760490438924263E-2</v>
      </c>
    </row>
    <row r="17" spans="1:12" x14ac:dyDescent="0.35">
      <c r="A17" s="1">
        <v>15</v>
      </c>
      <c r="B17" t="s">
        <v>13</v>
      </c>
      <c r="C17" t="s">
        <v>10</v>
      </c>
      <c r="D17" s="3">
        <v>0.29410073256457248</v>
      </c>
      <c r="E17" s="3">
        <v>0.25727754571412648</v>
      </c>
      <c r="F17" s="3">
        <v>0.33458567805452938</v>
      </c>
      <c r="H17" s="3">
        <v>0.29250827781347832</v>
      </c>
      <c r="I17">
        <f t="shared" si="1"/>
        <v>1</v>
      </c>
      <c r="J17" s="4">
        <f t="shared" si="8"/>
        <v>4.4982625626705519E-2</v>
      </c>
      <c r="K17" s="4">
        <f t="shared" si="7"/>
        <v>0.10428906889694189</v>
      </c>
      <c r="L17" s="4">
        <f t="shared" si="7"/>
        <v>6.3735427586937954E-2</v>
      </c>
    </row>
    <row r="18" spans="1:12" x14ac:dyDescent="0.35">
      <c r="A18" s="1">
        <v>16</v>
      </c>
      <c r="B18" t="s">
        <v>14</v>
      </c>
      <c r="C18" t="s">
        <v>7</v>
      </c>
      <c r="D18" s="3">
        <v>0.19741592434605851</v>
      </c>
      <c r="E18" s="3">
        <v>0.19256773953335149</v>
      </c>
      <c r="F18" s="3">
        <v>0.249436355217415</v>
      </c>
      <c r="H18" s="3">
        <v>0.21953986106313189</v>
      </c>
      <c r="I18">
        <f t="shared" si="1"/>
        <v>1</v>
      </c>
      <c r="J18" s="4">
        <f>1-D18/D$18</f>
        <v>0</v>
      </c>
      <c r="K18" s="4">
        <f t="shared" ref="K18:L21" si="9">1-E18/E$18</f>
        <v>0</v>
      </c>
      <c r="L18" s="4">
        <f t="shared" si="9"/>
        <v>0</v>
      </c>
    </row>
    <row r="19" spans="1:12" s="6" customFormat="1" x14ac:dyDescent="0.35">
      <c r="A19" s="5">
        <v>17</v>
      </c>
      <c r="B19" s="6" t="s">
        <v>14</v>
      </c>
      <c r="C19" s="6" t="s">
        <v>8</v>
      </c>
      <c r="D19" s="7">
        <v>0.37129146838645077</v>
      </c>
      <c r="E19" s="7">
        <v>0.33313979193804211</v>
      </c>
      <c r="F19" s="7">
        <v>0.49237289417074448</v>
      </c>
      <c r="H19" s="7">
        <v>0.40276559779281301</v>
      </c>
      <c r="I19">
        <f t="shared" si="1"/>
        <v>1</v>
      </c>
      <c r="J19" s="8">
        <f t="shared" ref="J19:J21" si="10">1-D19/D$18</f>
        <v>-0.88075743948395302</v>
      </c>
      <c r="K19" s="8">
        <f t="shared" si="9"/>
        <v>-0.72998755007115013</v>
      </c>
      <c r="L19" s="8">
        <f t="shared" si="9"/>
        <v>-0.9739419850870572</v>
      </c>
    </row>
    <row r="20" spans="1:12" x14ac:dyDescent="0.35">
      <c r="A20" s="1">
        <v>18</v>
      </c>
      <c r="B20" t="s">
        <v>14</v>
      </c>
      <c r="C20" t="s">
        <v>9</v>
      </c>
      <c r="D20" s="3">
        <v>0.25689235231426721</v>
      </c>
      <c r="E20" s="3">
        <v>0.268114404161094</v>
      </c>
      <c r="F20" s="3">
        <v>0.35409505396379848</v>
      </c>
      <c r="H20" s="3">
        <v>0.30176930562416032</v>
      </c>
      <c r="I20">
        <f t="shared" si="1"/>
        <v>0</v>
      </c>
      <c r="J20" s="4">
        <f t="shared" si="10"/>
        <v>-0.30127472322825399</v>
      </c>
      <c r="K20" s="4">
        <f t="shared" si="9"/>
        <v>-0.39231215369103034</v>
      </c>
      <c r="L20" s="4">
        <f>1-F20/F$18</f>
        <v>-0.4195807730399217</v>
      </c>
    </row>
    <row r="21" spans="1:12" x14ac:dyDescent="0.35">
      <c r="A21" s="1">
        <v>19</v>
      </c>
      <c r="B21" t="s">
        <v>14</v>
      </c>
      <c r="C21" t="s">
        <v>10</v>
      </c>
      <c r="D21" s="3">
        <v>0.21690102652958121</v>
      </c>
      <c r="E21" s="3">
        <v>0.14449349615565921</v>
      </c>
      <c r="F21" s="3">
        <v>0.23094762131043209</v>
      </c>
      <c r="H21" s="3">
        <v>0.1784192882457081</v>
      </c>
      <c r="I21">
        <f t="shared" si="1"/>
        <v>1</v>
      </c>
      <c r="J21" s="4">
        <f t="shared" si="10"/>
        <v>-9.8700762099446671E-2</v>
      </c>
      <c r="K21" s="4">
        <f t="shared" si="9"/>
        <v>0.24964847951266589</v>
      </c>
      <c r="L21" s="4">
        <f t="shared" si="9"/>
        <v>7.4122049654180011E-2</v>
      </c>
    </row>
    <row r="22" spans="1:12" x14ac:dyDescent="0.35">
      <c r="A22" s="1">
        <v>20</v>
      </c>
      <c r="B22" t="s">
        <v>15</v>
      </c>
      <c r="C22" t="s">
        <v>7</v>
      </c>
      <c r="D22" s="3">
        <v>0.38115634267791237</v>
      </c>
      <c r="E22" s="3">
        <v>0.36481459222708729</v>
      </c>
      <c r="F22" s="3">
        <v>0.44685562793392752</v>
      </c>
      <c r="H22" s="3">
        <v>0.40394918932361229</v>
      </c>
      <c r="I22">
        <f t="shared" si="1"/>
        <v>1</v>
      </c>
      <c r="J22" s="4">
        <f>1-D22/D$22</f>
        <v>0</v>
      </c>
      <c r="K22" s="4">
        <f t="shared" ref="K22:L25" si="11">1-E22/E$22</f>
        <v>0</v>
      </c>
      <c r="L22" s="4">
        <f t="shared" si="11"/>
        <v>0</v>
      </c>
    </row>
    <row r="23" spans="1:12" s="6" customFormat="1" x14ac:dyDescent="0.35">
      <c r="A23" s="5">
        <v>21</v>
      </c>
      <c r="B23" s="6" t="s">
        <v>15</v>
      </c>
      <c r="C23" s="6" t="s">
        <v>8</v>
      </c>
      <c r="D23" s="7">
        <v>0.57028678691437662</v>
      </c>
      <c r="E23" s="7">
        <v>0.4803033886324713</v>
      </c>
      <c r="F23" s="7">
        <v>0.6931527343221785</v>
      </c>
      <c r="H23" s="7">
        <v>0.56972789096318488</v>
      </c>
      <c r="I23">
        <f t="shared" si="1"/>
        <v>1</v>
      </c>
      <c r="J23" s="8">
        <f t="shared" ref="J23:J25" si="12">1-D23/D$22</f>
        <v>-0.4962017499372553</v>
      </c>
      <c r="K23" s="8">
        <f t="shared" si="11"/>
        <v>-0.3165684675614493</v>
      </c>
      <c r="L23" s="8">
        <f t="shared" si="11"/>
        <v>-0.55117825756615213</v>
      </c>
    </row>
    <row r="24" spans="1:12" x14ac:dyDescent="0.35">
      <c r="A24" s="1">
        <v>22</v>
      </c>
      <c r="B24" t="s">
        <v>15</v>
      </c>
      <c r="C24" t="s">
        <v>9</v>
      </c>
      <c r="D24" s="3">
        <v>0.44196137913623929</v>
      </c>
      <c r="E24" s="3">
        <v>0.242671125635293</v>
      </c>
      <c r="F24" s="3">
        <v>0.46929160429474931</v>
      </c>
      <c r="H24" s="3">
        <v>0.34886222961404861</v>
      </c>
      <c r="I24">
        <f t="shared" si="1"/>
        <v>1</v>
      </c>
      <c r="J24" s="4">
        <f t="shared" si="12"/>
        <v>-0.15952780958890878</v>
      </c>
      <c r="K24" s="4">
        <f t="shared" si="11"/>
        <v>0.33480970661327947</v>
      </c>
      <c r="L24" s="4">
        <f t="shared" si="11"/>
        <v>-5.0208557212440885E-2</v>
      </c>
    </row>
    <row r="25" spans="1:12" x14ac:dyDescent="0.35">
      <c r="A25" s="1">
        <v>23</v>
      </c>
      <c r="B25" t="s">
        <v>15</v>
      </c>
      <c r="C25" t="s">
        <v>10</v>
      </c>
      <c r="D25" s="3">
        <v>0.40666046899736702</v>
      </c>
      <c r="E25" s="3">
        <v>0.39469106696020462</v>
      </c>
      <c r="F25" s="3">
        <v>0.62435751478277579</v>
      </c>
      <c r="H25" s="3">
        <v>0.47892457635952768</v>
      </c>
      <c r="I25">
        <f t="shared" si="1"/>
        <v>1</v>
      </c>
      <c r="J25" s="4">
        <f t="shared" si="12"/>
        <v>-6.6912506663981519E-2</v>
      </c>
      <c r="K25" s="4">
        <f t="shared" si="11"/>
        <v>-8.1894955327115992E-2</v>
      </c>
      <c r="L25" s="4">
        <f t="shared" si="11"/>
        <v>-0.39722423922362204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Bhagwat, Sarang Sunil</cp:lastModifiedBy>
  <dcterms:created xsi:type="dcterms:W3CDTF">2024-12-19T06:11:15Z</dcterms:created>
  <dcterms:modified xsi:type="dcterms:W3CDTF">2024-12-20T01:51:52Z</dcterms:modified>
</cp:coreProperties>
</file>