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/>
  <mc:AlternateContent xmlns:mc="http://schemas.openxmlformats.org/markup-compatibility/2006">
    <mc:Choice Requires="x15">
      <x15ac:absPath xmlns:x15ac="http://schemas.microsoft.com/office/spreadsheetml/2010/11/ac" url="C:\Users\saran\Documents\Academia\repository_clones\fermentation_insights\fermentation_insights\TRY_results\"/>
    </mc:Choice>
  </mc:AlternateContent>
  <xr:revisionPtr revIDLastSave="0" documentId="13_ncr:1_{A951E530-5681-4954-99FA-6AAC98A3F666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2" i="1" l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P33" i="1"/>
  <c r="O33" i="1"/>
  <c r="O27" i="1" s="1"/>
  <c r="N33" i="1"/>
  <c r="M33" i="1"/>
  <c r="L33" i="1"/>
  <c r="K33" i="1"/>
  <c r="J33" i="1"/>
  <c r="I33" i="1"/>
  <c r="H33" i="1"/>
  <c r="G33" i="1"/>
  <c r="F33" i="1"/>
  <c r="E33" i="1"/>
  <c r="D33" i="1"/>
  <c r="P32" i="1"/>
  <c r="N32" i="1"/>
  <c r="M32" i="1"/>
  <c r="L32" i="1"/>
  <c r="K32" i="1"/>
  <c r="J32" i="1"/>
  <c r="I32" i="1"/>
  <c r="H32" i="1"/>
  <c r="G32" i="1"/>
  <c r="F32" i="1"/>
  <c r="E32" i="1"/>
  <c r="D32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P29" i="1"/>
  <c r="O29" i="1"/>
  <c r="N29" i="1"/>
  <c r="N27" i="1" s="1"/>
  <c r="M29" i="1"/>
  <c r="M27" i="1" s="1"/>
  <c r="L29" i="1"/>
  <c r="L27" i="1" s="1"/>
  <c r="K29" i="1"/>
  <c r="K27" i="1" s="1"/>
  <c r="J29" i="1"/>
  <c r="J27" i="1" s="1"/>
  <c r="I29" i="1"/>
  <c r="I27" i="1" s="1"/>
  <c r="H29" i="1"/>
  <c r="H27" i="1" s="1"/>
  <c r="G29" i="1"/>
  <c r="G27" i="1" s="1"/>
  <c r="F29" i="1"/>
  <c r="F27" i="1" s="1"/>
  <c r="E29" i="1"/>
  <c r="E27" i="1" s="1"/>
  <c r="D29" i="1"/>
  <c r="D27" i="1" s="1"/>
  <c r="P27" i="1"/>
</calcChain>
</file>

<file path=xl/sharedStrings.xml><?xml version="1.0" encoding="utf-8"?>
<sst xmlns="http://schemas.openxmlformats.org/spreadsheetml/2006/main" count="63" uniqueCount="25">
  <si>
    <t>product</t>
  </si>
  <si>
    <t>feedstock</t>
  </si>
  <si>
    <t>fermentation cell mass yield</t>
  </si>
  <si>
    <t>feedstock unit price</t>
  </si>
  <si>
    <t>feedstock capacity</t>
  </si>
  <si>
    <t>operating time</t>
  </si>
  <si>
    <t>natural gas unit price</t>
  </si>
  <si>
    <t>CSL unit price</t>
  </si>
  <si>
    <t>CSL loading</t>
  </si>
  <si>
    <t>electricity unit price</t>
  </si>
  <si>
    <t>inoculum ratio</t>
  </si>
  <si>
    <t>seed train fermentation ratio</t>
  </si>
  <si>
    <t>product storage time</t>
  </si>
  <si>
    <t>boiler efficiency</t>
  </si>
  <si>
    <t>turbogenerator efficiency</t>
  </si>
  <si>
    <t>TAL</t>
  </si>
  <si>
    <t>glucose</t>
  </si>
  <si>
    <t>cornstover</t>
  </si>
  <si>
    <t>sugarcane</t>
  </si>
  <si>
    <t>corn</t>
  </si>
  <si>
    <t>TAL_SA</t>
  </si>
  <si>
    <t>HP</t>
  </si>
  <si>
    <t>HP_neutral</t>
  </si>
  <si>
    <t>HP_hexanol</t>
  </si>
  <si>
    <t>HP_neutral_hexanol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</si>
</sst>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2"/>
  <sheetViews>
    <sheetView tabSelected="1" workbookViewId="0">
      <selection activeCell="E5" sqref="E5"/>
    </sheetView>
  </sheetViews>
  <sheetFormatPr defaultRowHeight="14.5" x14ac:dyDescent="0.35"/>
  <sheetData>
    <row r="1" spans="1:16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</row>
    <row r="2" spans="1:16" x14ac:dyDescent="0.35">
      <c r="A2" s="1">
        <v>0</v>
      </c>
      <c r="B2" t="s">
        <v>15</v>
      </c>
      <c r="C2" t="s">
        <v>16</v>
      </c>
      <c r="D2">
        <v>1.318488473953896E-2</v>
      </c>
      <c r="E2">
        <v>0.31682872331489331</v>
      </c>
      <c r="F2">
        <v>-0.17219406477625909</v>
      </c>
      <c r="G2">
        <v>-0.1178677354709419</v>
      </c>
      <c r="H2">
        <v>1.687091548366193E-2</v>
      </c>
      <c r="I2">
        <v>-5.4721754887019552E-2</v>
      </c>
      <c r="J2">
        <v>-0.1185744902979612</v>
      </c>
      <c r="K2">
        <v>5.8962091848367391E-2</v>
      </c>
      <c r="L2">
        <v>6.7962031848127394E-2</v>
      </c>
      <c r="M2">
        <v>4.2303049212196853E-2</v>
      </c>
      <c r="N2">
        <v>-1.206350425401702E-2</v>
      </c>
      <c r="O2">
        <v>-2.528573314293257E-2</v>
      </c>
      <c r="P2">
        <v>9.8940683762735057E-2</v>
      </c>
    </row>
    <row r="3" spans="1:16" x14ac:dyDescent="0.35">
      <c r="A3" s="1">
        <v>1</v>
      </c>
      <c r="B3" t="s">
        <v>15</v>
      </c>
      <c r="C3" t="s">
        <v>17</v>
      </c>
      <c r="D3">
        <v>-6.2615674462697848E-2</v>
      </c>
      <c r="E3">
        <v>0.1595471661886648</v>
      </c>
      <c r="F3">
        <v>-0.22794715178860719</v>
      </c>
      <c r="G3">
        <v>-0.13811258445033781</v>
      </c>
      <c r="H3">
        <v>6.8488593954375817E-3</v>
      </c>
      <c r="I3">
        <v>-5.4177144708578831E-2</v>
      </c>
      <c r="J3">
        <v>-0.16044841779367119</v>
      </c>
      <c r="K3">
        <v>2.6662762651050609E-2</v>
      </c>
      <c r="L3">
        <v>5.1880335521342087E-2</v>
      </c>
      <c r="M3">
        <v>2.3119580478321911E-2</v>
      </c>
      <c r="N3">
        <v>2.1618806475225901E-2</v>
      </c>
      <c r="O3">
        <v>-0.14381001524006101</v>
      </c>
      <c r="P3">
        <v>3.8814107256429017E-2</v>
      </c>
    </row>
    <row r="4" spans="1:16" x14ac:dyDescent="0.35">
      <c r="A4" s="1">
        <v>2</v>
      </c>
      <c r="B4" t="s">
        <v>15</v>
      </c>
      <c r="C4" t="s">
        <v>18</v>
      </c>
      <c r="D4">
        <v>-9.1265165060660236E-2</v>
      </c>
      <c r="E4">
        <v>0.23453402613610461</v>
      </c>
      <c r="F4">
        <v>-0.27999356797427188</v>
      </c>
      <c r="G4">
        <v>-0.36624309697238788</v>
      </c>
      <c r="H4">
        <v>5.1304525218100871E-3</v>
      </c>
      <c r="I4">
        <v>-5.4353785415141659E-2</v>
      </c>
      <c r="J4">
        <v>-0.24496993987975951</v>
      </c>
      <c r="K4">
        <v>2.4362305449221799E-2</v>
      </c>
      <c r="L4">
        <v>7.8250873003492018E-3</v>
      </c>
      <c r="M4">
        <v>4.4648626594506378E-2</v>
      </c>
      <c r="N4">
        <v>8.5714902859611447E-3</v>
      </c>
      <c r="O4">
        <v>-0.1257984231936928</v>
      </c>
      <c r="P4">
        <v>2.3636350545402179E-2</v>
      </c>
    </row>
    <row r="5" spans="1:16" x14ac:dyDescent="0.35">
      <c r="A5" s="1">
        <v>3</v>
      </c>
      <c r="B5" t="s">
        <v>15</v>
      </c>
      <c r="C5" t="s">
        <v>19</v>
      </c>
      <c r="D5">
        <v>-4.9249156996627984E-3</v>
      </c>
      <c r="E5">
        <v>0.1012556370225481</v>
      </c>
      <c r="F5">
        <v>-0.2020549842199369</v>
      </c>
      <c r="G5">
        <v>-0.14307158028632111</v>
      </c>
      <c r="H5">
        <v>2.2158904635618541E-2</v>
      </c>
      <c r="I5">
        <v>-6.0177072708290827E-2</v>
      </c>
      <c r="J5">
        <v>-0.166374233496934</v>
      </c>
      <c r="K5">
        <v>6.0774867099468402E-2</v>
      </c>
      <c r="L5">
        <v>5.0219240876963507E-2</v>
      </c>
      <c r="M5">
        <v>6.7781071124284498E-2</v>
      </c>
      <c r="N5">
        <v>-9.2785331141324572E-3</v>
      </c>
      <c r="O5">
        <v>-9.6178368713474849E-2</v>
      </c>
      <c r="P5">
        <v>9.6715970863883449E-2</v>
      </c>
    </row>
    <row r="6" spans="1:16" x14ac:dyDescent="0.35">
      <c r="A6" s="1">
        <v>4</v>
      </c>
      <c r="B6" t="s">
        <v>20</v>
      </c>
      <c r="C6" t="s">
        <v>16</v>
      </c>
      <c r="D6">
        <v>3.431917727670911E-3</v>
      </c>
      <c r="E6">
        <v>0.29911876447505792</v>
      </c>
      <c r="F6">
        <v>-5.2765939063756262E-2</v>
      </c>
      <c r="G6">
        <v>-0.1037873591494366</v>
      </c>
      <c r="H6">
        <v>2.7353293413173649E-2</v>
      </c>
      <c r="I6">
        <v>6.0240720962883847E-2</v>
      </c>
      <c r="J6">
        <v>-8.9008484033936131E-2</v>
      </c>
      <c r="K6">
        <v>4.5455317821271282E-2</v>
      </c>
      <c r="L6">
        <v>-2.2685562742250968E-2</v>
      </c>
      <c r="M6">
        <v>-4.6713594854379419E-2</v>
      </c>
      <c r="N6">
        <v>4.082733130932524E-2</v>
      </c>
      <c r="O6">
        <v>2.074280297121189E-2</v>
      </c>
      <c r="P6">
        <v>2.2577274309097239E-2</v>
      </c>
    </row>
    <row r="7" spans="1:16" x14ac:dyDescent="0.35">
      <c r="A7" s="1">
        <v>5</v>
      </c>
      <c r="B7" t="s">
        <v>20</v>
      </c>
      <c r="C7" t="s">
        <v>17</v>
      </c>
      <c r="D7">
        <v>-8.3661262645050583E-2</v>
      </c>
      <c r="E7">
        <v>0.1173252373009492</v>
      </c>
      <c r="F7">
        <v>-0.11640776163104651</v>
      </c>
      <c r="G7">
        <v>-0.11004399217596871</v>
      </c>
      <c r="H7">
        <v>-9.8720074880299519E-3</v>
      </c>
      <c r="I7">
        <v>4.3243372973491893E-2</v>
      </c>
      <c r="J7">
        <v>-9.2903219612878452E-2</v>
      </c>
      <c r="K7">
        <v>6.2656762627050513E-2</v>
      </c>
      <c r="L7">
        <v>-3.6171024684098739E-2</v>
      </c>
      <c r="M7">
        <v>-3.3747878991515969E-2</v>
      </c>
      <c r="N7">
        <v>6.3801567206268825E-2</v>
      </c>
      <c r="O7">
        <v>-6.0723890895563577E-2</v>
      </c>
      <c r="P7">
        <v>-4.3709166836667347E-2</v>
      </c>
    </row>
    <row r="8" spans="1:16" x14ac:dyDescent="0.35">
      <c r="A8" s="1">
        <v>6</v>
      </c>
      <c r="B8" t="s">
        <v>20</v>
      </c>
      <c r="C8" t="s">
        <v>18</v>
      </c>
      <c r="D8">
        <v>-9.8513098052392209E-2</v>
      </c>
      <c r="E8">
        <v>0.1774120696482786</v>
      </c>
      <c r="F8">
        <v>-7.9218268873075495E-2</v>
      </c>
      <c r="G8">
        <v>-0.27136265345061378</v>
      </c>
      <c r="H8">
        <v>-4.9331717326869312E-3</v>
      </c>
      <c r="I8">
        <v>3.8365305461221848E-2</v>
      </c>
      <c r="J8">
        <v>-4.315322861291445E-2</v>
      </c>
      <c r="K8">
        <v>7.0620378481513923E-2</v>
      </c>
      <c r="L8">
        <v>-1.5099612398449589E-2</v>
      </c>
      <c r="M8">
        <v>-2.377689510758043E-2</v>
      </c>
      <c r="N8">
        <v>4.2927531710126837E-2</v>
      </c>
      <c r="O8">
        <v>-4.5637910551642208E-2</v>
      </c>
      <c r="P8">
        <v>5.0054600218400877E-3</v>
      </c>
    </row>
    <row r="9" spans="1:16" x14ac:dyDescent="0.35">
      <c r="A9" s="1">
        <v>7</v>
      </c>
      <c r="B9" t="s">
        <v>20</v>
      </c>
      <c r="C9" t="s">
        <v>19</v>
      </c>
      <c r="D9">
        <v>-2.5848007392029571E-2</v>
      </c>
      <c r="E9">
        <v>0.1025862023448094</v>
      </c>
      <c r="F9">
        <v>-0.1100902643610574</v>
      </c>
      <c r="G9">
        <v>-0.1228314353257413</v>
      </c>
      <c r="H9">
        <v>5.9038316153264617E-3</v>
      </c>
      <c r="I9">
        <v>6.533181332725331E-2</v>
      </c>
      <c r="J9">
        <v>-0.12382071928287711</v>
      </c>
      <c r="K9">
        <v>7.1397597590390355E-2</v>
      </c>
      <c r="L9">
        <v>-7.4450793803175208E-2</v>
      </c>
      <c r="M9">
        <v>1.2290545162180651E-2</v>
      </c>
      <c r="N9">
        <v>7.5571502286009146E-2</v>
      </c>
      <c r="O9">
        <v>4.5321397285589142E-2</v>
      </c>
      <c r="P9">
        <v>3.6095088380353517E-2</v>
      </c>
    </row>
    <row r="10" spans="1:16" x14ac:dyDescent="0.35">
      <c r="A10" s="1">
        <v>8</v>
      </c>
      <c r="B10" t="s">
        <v>21</v>
      </c>
      <c r="C10" t="s">
        <v>16</v>
      </c>
      <c r="D10">
        <v>0.35326067704270819</v>
      </c>
      <c r="E10">
        <v>0.58434598538394156</v>
      </c>
      <c r="F10">
        <v>-0.22559859839439361</v>
      </c>
      <c r="G10">
        <v>-0.22635690542762171</v>
      </c>
      <c r="H10">
        <v>-0.14322882891531569</v>
      </c>
      <c r="I10">
        <v>8.2363529454117825E-3</v>
      </c>
      <c r="J10">
        <v>0.10709572438289749</v>
      </c>
      <c r="K10">
        <v>0.1012593810375241</v>
      </c>
      <c r="L10">
        <v>9.5523454093816379E-2</v>
      </c>
      <c r="M10">
        <v>-8.8017184068736279E-2</v>
      </c>
      <c r="N10">
        <v>7.8981819927279706E-2</v>
      </c>
      <c r="O10">
        <v>0.27328947715790858</v>
      </c>
      <c r="P10">
        <v>0.29508233232932929</v>
      </c>
    </row>
    <row r="11" spans="1:16" x14ac:dyDescent="0.35">
      <c r="A11" s="1">
        <v>9</v>
      </c>
      <c r="B11" t="s">
        <v>21</v>
      </c>
      <c r="C11" t="s">
        <v>17</v>
      </c>
      <c r="D11">
        <v>-0.23028706514826061</v>
      </c>
      <c r="E11">
        <v>0.27856623426493698</v>
      </c>
      <c r="F11">
        <v>-0.17465657062628251</v>
      </c>
      <c r="G11">
        <v>-0.1230694202776811</v>
      </c>
      <c r="H11">
        <v>-0.49918193272773093</v>
      </c>
      <c r="I11">
        <v>2.0721010884043541E-2</v>
      </c>
      <c r="J11">
        <v>1.899089196356785E-2</v>
      </c>
      <c r="K11">
        <v>0.27858562634250539</v>
      </c>
      <c r="L11">
        <v>3.7664886659546641E-2</v>
      </c>
      <c r="M11">
        <v>-2.6311881247524989E-2</v>
      </c>
      <c r="N11">
        <v>-2.8030000120000481E-2</v>
      </c>
      <c r="O11">
        <v>5.3324469297877188E-2</v>
      </c>
      <c r="P11">
        <v>0.50407948831795324</v>
      </c>
    </row>
    <row r="12" spans="1:16" x14ac:dyDescent="0.35">
      <c r="A12" s="1">
        <v>10</v>
      </c>
      <c r="B12" t="s">
        <v>21</v>
      </c>
      <c r="C12" t="s">
        <v>18</v>
      </c>
      <c r="D12">
        <v>-0.1731600206400826</v>
      </c>
      <c r="E12">
        <v>0.34134875739502962</v>
      </c>
      <c r="F12">
        <v>-0.16599973599894399</v>
      </c>
      <c r="G12">
        <v>-1.340510962043848E-2</v>
      </c>
      <c r="H12">
        <v>-0.52703510014040056</v>
      </c>
      <c r="I12">
        <v>2.144235776943108E-2</v>
      </c>
      <c r="J12">
        <v>4.341492565970264E-2</v>
      </c>
      <c r="K12">
        <v>0.24842172968691881</v>
      </c>
      <c r="L12">
        <v>6.2420121680486718E-2</v>
      </c>
      <c r="M12">
        <v>-6.6153864615458458E-3</v>
      </c>
      <c r="N12">
        <v>-1.6453025812103249E-2</v>
      </c>
      <c r="O12">
        <v>0.1161332965331861</v>
      </c>
      <c r="P12">
        <v>0.53029220116880471</v>
      </c>
    </row>
    <row r="13" spans="1:16" x14ac:dyDescent="0.35">
      <c r="A13" s="1">
        <v>11</v>
      </c>
      <c r="B13" t="s">
        <v>21</v>
      </c>
      <c r="C13" t="s">
        <v>19</v>
      </c>
      <c r="D13">
        <v>1.519148476593906E-2</v>
      </c>
      <c r="E13">
        <v>0.14125458101832411</v>
      </c>
      <c r="F13">
        <v>-8.0482113928455709E-2</v>
      </c>
      <c r="G13">
        <v>-7.9165660662642648E-2</v>
      </c>
      <c r="H13">
        <v>-0.53989089556358227</v>
      </c>
      <c r="I13">
        <v>3.7387829551318197E-2</v>
      </c>
      <c r="J13">
        <v>2.7336589346357389E-2</v>
      </c>
      <c r="K13">
        <v>0.26476934707738831</v>
      </c>
      <c r="L13">
        <v>0.1023161532646131</v>
      </c>
      <c r="M13">
        <v>-1.509769239076956E-2</v>
      </c>
      <c r="N13">
        <v>-1.7908775635102538E-2</v>
      </c>
      <c r="O13">
        <v>0.2554819819279277</v>
      </c>
      <c r="P13">
        <v>0.67414762459049837</v>
      </c>
    </row>
    <row r="14" spans="1:16" x14ac:dyDescent="0.35">
      <c r="A14" s="1">
        <v>12</v>
      </c>
      <c r="B14" t="s">
        <v>22</v>
      </c>
      <c r="C14" t="s">
        <v>16</v>
      </c>
      <c r="D14">
        <v>0.44880822723290892</v>
      </c>
      <c r="E14">
        <v>0.57432901731606922</v>
      </c>
      <c r="F14">
        <v>-0.23532132528530109</v>
      </c>
      <c r="G14">
        <v>-0.22164271057084231</v>
      </c>
      <c r="H14">
        <v>-7.8232344929379721E-2</v>
      </c>
      <c r="I14">
        <v>-1.22748010992044E-2</v>
      </c>
      <c r="J14">
        <v>4.7425533702134808E-2</v>
      </c>
      <c r="K14">
        <v>0.1065983463933856</v>
      </c>
      <c r="L14">
        <v>9.4465337861351445E-2</v>
      </c>
      <c r="M14">
        <v>-7.9557918231672922E-2</v>
      </c>
      <c r="N14">
        <v>7.9765951063804255E-2</v>
      </c>
      <c r="O14">
        <v>0.25897581990327961</v>
      </c>
      <c r="P14">
        <v>0.30530445321781291</v>
      </c>
    </row>
    <row r="15" spans="1:16" x14ac:dyDescent="0.35">
      <c r="A15" s="1">
        <v>13</v>
      </c>
      <c r="B15" t="s">
        <v>22</v>
      </c>
      <c r="C15" t="s">
        <v>17</v>
      </c>
      <c r="D15">
        <v>-6.4197280789123151E-2</v>
      </c>
      <c r="E15">
        <v>0.1933490933963736</v>
      </c>
      <c r="F15">
        <v>-0.16935350941403771</v>
      </c>
      <c r="G15">
        <v>-0.1069581558326233</v>
      </c>
      <c r="H15">
        <v>-0.54576861507446028</v>
      </c>
      <c r="I15">
        <v>5.3375541502166009E-2</v>
      </c>
      <c r="J15">
        <v>-1.4778107112428451E-2</v>
      </c>
      <c r="K15">
        <v>0.2728263713054852</v>
      </c>
      <c r="L15">
        <v>0.1117368629474518</v>
      </c>
      <c r="M15">
        <v>-2.28064272257089E-2</v>
      </c>
      <c r="N15">
        <v>-3.1646430585722342E-2</v>
      </c>
      <c r="O15">
        <v>4.6327577310309238E-2</v>
      </c>
      <c r="P15">
        <v>0.63508103632414525</v>
      </c>
    </row>
    <row r="16" spans="1:16" x14ac:dyDescent="0.35">
      <c r="A16" s="1">
        <v>14</v>
      </c>
      <c r="B16" t="s">
        <v>22</v>
      </c>
      <c r="C16" t="s">
        <v>18</v>
      </c>
      <c r="D16">
        <v>-0.108689426757707</v>
      </c>
      <c r="E16">
        <v>0.29164715058860241</v>
      </c>
      <c r="F16">
        <v>-9.491068364273457E-2</v>
      </c>
      <c r="G16">
        <v>6.8166800667202668E-2</v>
      </c>
      <c r="H16">
        <v>-0.51206412825651304</v>
      </c>
      <c r="I16">
        <v>2.9210996843987381E-3</v>
      </c>
      <c r="J16">
        <v>-1.3812631250525001E-2</v>
      </c>
      <c r="K16">
        <v>0.26648064992259968</v>
      </c>
      <c r="L16">
        <v>8.1852711410845644E-2</v>
      </c>
      <c r="M16">
        <v>-7.7308149232596926E-3</v>
      </c>
      <c r="N16">
        <v>-5.8782955131820528E-3</v>
      </c>
      <c r="O16">
        <v>0.20671090684362739</v>
      </c>
      <c r="P16">
        <v>0.58668042672170684</v>
      </c>
    </row>
    <row r="17" spans="1:16" x14ac:dyDescent="0.35">
      <c r="A17" s="1">
        <v>15</v>
      </c>
      <c r="B17" t="s">
        <v>22</v>
      </c>
      <c r="C17" t="s">
        <v>19</v>
      </c>
      <c r="D17">
        <v>8.0001056004224011E-2</v>
      </c>
      <c r="E17">
        <v>0.1064525218100872</v>
      </c>
      <c r="F17">
        <v>-6.3709214836859346E-2</v>
      </c>
      <c r="G17">
        <v>-5.4886011544046168E-2</v>
      </c>
      <c r="H17">
        <v>-0.48932202128808522</v>
      </c>
      <c r="I17">
        <v>4.3754191016764067E-2</v>
      </c>
      <c r="J17">
        <v>-3.0140760563042251E-2</v>
      </c>
      <c r="K17">
        <v>0.26910347641390558</v>
      </c>
      <c r="L17">
        <v>0.1116535346141385</v>
      </c>
      <c r="M17">
        <v>-2.2416857667430672E-2</v>
      </c>
      <c r="N17">
        <v>-1.7588518354073421E-2</v>
      </c>
      <c r="O17">
        <v>0.33399138396553579</v>
      </c>
      <c r="P17">
        <v>0.68345226980907925</v>
      </c>
    </row>
    <row r="18" spans="1:16" x14ac:dyDescent="0.35">
      <c r="A18" s="1">
        <v>16</v>
      </c>
      <c r="B18" t="s">
        <v>23</v>
      </c>
      <c r="C18" t="s">
        <v>16</v>
      </c>
      <c r="D18">
        <v>0.39283664334657342</v>
      </c>
      <c r="E18">
        <v>0.63792687170748685</v>
      </c>
      <c r="F18">
        <v>-0.1033816615266461</v>
      </c>
      <c r="G18">
        <v>-0.1569052356209425</v>
      </c>
      <c r="H18">
        <v>-5.873370693482774E-2</v>
      </c>
      <c r="I18">
        <v>-8.2898251593006376E-3</v>
      </c>
      <c r="J18">
        <v>4.2270889083556328E-2</v>
      </c>
      <c r="K18">
        <v>8.6255385021540093E-2</v>
      </c>
      <c r="L18">
        <v>9.378776715106861E-2</v>
      </c>
      <c r="M18">
        <v>-7.1556286225144899E-2</v>
      </c>
      <c r="N18">
        <v>9.218849675398702E-2</v>
      </c>
      <c r="O18">
        <v>0.25861581846327392</v>
      </c>
      <c r="P18">
        <v>0.25336469345877383</v>
      </c>
    </row>
    <row r="19" spans="1:16" x14ac:dyDescent="0.35">
      <c r="A19" s="1">
        <v>17</v>
      </c>
      <c r="B19" t="s">
        <v>23</v>
      </c>
      <c r="C19" t="s">
        <v>17</v>
      </c>
      <c r="D19">
        <v>3.6173232692930768E-2</v>
      </c>
      <c r="E19">
        <v>0.1807822591290365</v>
      </c>
      <c r="F19">
        <v>-0.123002892011568</v>
      </c>
      <c r="G19">
        <v>-0.1295766143064572</v>
      </c>
      <c r="H19">
        <v>-0.25590774363097452</v>
      </c>
      <c r="I19">
        <v>2.6885099540398159E-2</v>
      </c>
      <c r="J19">
        <v>1.9748238992955969E-3</v>
      </c>
      <c r="K19">
        <v>4.8791523166092657E-2</v>
      </c>
      <c r="L19">
        <v>0.14131890127560509</v>
      </c>
      <c r="M19">
        <v>3.116748466993868E-3</v>
      </c>
      <c r="N19">
        <v>-2.4876963507854032E-2</v>
      </c>
      <c r="O19">
        <v>0.47964115056460233</v>
      </c>
      <c r="P19">
        <v>0.2398573434293737</v>
      </c>
    </row>
    <row r="20" spans="1:16" x14ac:dyDescent="0.35">
      <c r="A20" s="1">
        <v>18</v>
      </c>
      <c r="B20" t="s">
        <v>23</v>
      </c>
      <c r="C20" t="s">
        <v>18</v>
      </c>
      <c r="D20">
        <v>-6.7757071028284113E-2</v>
      </c>
      <c r="E20">
        <v>0.45733699734798938</v>
      </c>
      <c r="F20">
        <v>-0.1457335749342997</v>
      </c>
      <c r="G20">
        <v>-0.22961631046524189</v>
      </c>
      <c r="H20">
        <v>-0.47343578174312689</v>
      </c>
      <c r="I20">
        <v>2.1210228840915359E-2</v>
      </c>
      <c r="J20">
        <v>5.5693182772731088E-2</v>
      </c>
      <c r="K20">
        <v>0.23189036756147019</v>
      </c>
      <c r="L20">
        <v>0.1205742742970972</v>
      </c>
      <c r="M20">
        <v>-2.668522674090696E-2</v>
      </c>
      <c r="N20">
        <v>1.5311101244404979E-2</v>
      </c>
      <c r="O20">
        <v>0.30201452005808022</v>
      </c>
      <c r="P20">
        <v>0.53498239592958374</v>
      </c>
    </row>
    <row r="21" spans="1:16" x14ac:dyDescent="0.35">
      <c r="A21" s="1">
        <v>19</v>
      </c>
      <c r="B21" t="s">
        <v>23</v>
      </c>
      <c r="C21" t="s">
        <v>19</v>
      </c>
      <c r="D21">
        <v>0.19243680174720701</v>
      </c>
      <c r="E21">
        <v>0.24148234192936771</v>
      </c>
      <c r="F21">
        <v>-0.15577828711314851</v>
      </c>
      <c r="G21">
        <v>-0.18684007536030139</v>
      </c>
      <c r="H21">
        <v>-0.4109183156732627</v>
      </c>
      <c r="I21">
        <v>2.4456289825159301E-2</v>
      </c>
      <c r="J21">
        <v>4.6706682826731308E-2</v>
      </c>
      <c r="K21">
        <v>0.15809535238140951</v>
      </c>
      <c r="L21">
        <v>0.1261710966843867</v>
      </c>
      <c r="M21">
        <v>-3.6292081168324671E-2</v>
      </c>
      <c r="N21">
        <v>1.8455017820071279E-2</v>
      </c>
      <c r="O21">
        <v>0.59269408277633107</v>
      </c>
      <c r="P21">
        <v>0.46825348901395608</v>
      </c>
    </row>
    <row r="22" spans="1:16" x14ac:dyDescent="0.35">
      <c r="A22" s="1">
        <v>20</v>
      </c>
      <c r="B22" t="s">
        <v>24</v>
      </c>
      <c r="C22" t="s">
        <v>16</v>
      </c>
      <c r="D22">
        <v>0.56071942687770748</v>
      </c>
      <c r="E22">
        <v>0.53482937131748531</v>
      </c>
      <c r="F22">
        <v>-7.2923235692942776E-2</v>
      </c>
      <c r="G22">
        <v>-0.14326665306661229</v>
      </c>
      <c r="H22">
        <v>-3.9570974283897137E-2</v>
      </c>
      <c r="I22">
        <v>-1.0789963159852639E-2</v>
      </c>
      <c r="J22">
        <v>1.298808395233581E-2</v>
      </c>
      <c r="K22">
        <v>9.7239460957843832E-2</v>
      </c>
      <c r="L22">
        <v>7.3201156804627215E-2</v>
      </c>
      <c r="M22">
        <v>-6.8793299173196695E-2</v>
      </c>
      <c r="N22">
        <v>9.6869379477517906E-2</v>
      </c>
      <c r="O22">
        <v>0.21152129408517631</v>
      </c>
      <c r="P22">
        <v>0.24953715814863259</v>
      </c>
    </row>
    <row r="23" spans="1:16" x14ac:dyDescent="0.35">
      <c r="A23" s="1">
        <v>21</v>
      </c>
      <c r="B23" t="s">
        <v>24</v>
      </c>
      <c r="C23" t="s">
        <v>17</v>
      </c>
      <c r="D23">
        <v>0.15504839619358479</v>
      </c>
      <c r="E23">
        <v>0.23151951807807231</v>
      </c>
      <c r="F23">
        <v>-0.14885915543662179</v>
      </c>
      <c r="G23">
        <v>-0.16787203148812599</v>
      </c>
      <c r="H23">
        <v>-0.30839403357613432</v>
      </c>
      <c r="I23">
        <v>1.267022668090672E-2</v>
      </c>
      <c r="J23">
        <v>-2.902005208020832E-2</v>
      </c>
      <c r="K23">
        <v>0.1086659066636267</v>
      </c>
      <c r="L23">
        <v>8.793423973695895E-2</v>
      </c>
      <c r="M23">
        <v>-1.6409249636998548E-2</v>
      </c>
      <c r="N23">
        <v>-2.2828411313645259E-2</v>
      </c>
      <c r="O23">
        <v>0.6652588530354121</v>
      </c>
      <c r="P23">
        <v>0.34329890919563683</v>
      </c>
    </row>
    <row r="24" spans="1:16" x14ac:dyDescent="0.35">
      <c r="A24" s="1">
        <v>22</v>
      </c>
      <c r="B24" t="s">
        <v>24</v>
      </c>
      <c r="C24" t="s">
        <v>18</v>
      </c>
      <c r="D24">
        <v>-2.313081252325009E-2</v>
      </c>
      <c r="E24">
        <v>0.46646576986307953</v>
      </c>
      <c r="F24">
        <v>-0.15181299125196501</v>
      </c>
      <c r="G24">
        <v>-0.2233388453553814</v>
      </c>
      <c r="H24">
        <v>-0.44239732158928641</v>
      </c>
      <c r="I24">
        <v>3.5378541514166063E-2</v>
      </c>
      <c r="J24">
        <v>-1.9698126792507171E-2</v>
      </c>
      <c r="K24">
        <v>0.25994446377785507</v>
      </c>
      <c r="L24">
        <v>0.1177981351925408</v>
      </c>
      <c r="M24">
        <v>-2.039019356077424E-2</v>
      </c>
      <c r="N24">
        <v>1.8861195444781782E-2</v>
      </c>
      <c r="O24">
        <v>0.26880251521006082</v>
      </c>
      <c r="P24">
        <v>0.5472389569558278</v>
      </c>
    </row>
    <row r="25" spans="1:16" x14ac:dyDescent="0.35">
      <c r="A25" s="1">
        <v>23</v>
      </c>
      <c r="B25" t="s">
        <v>24</v>
      </c>
      <c r="C25" t="s">
        <v>19</v>
      </c>
      <c r="D25">
        <v>-8.302113208452834E-2</v>
      </c>
      <c r="E25">
        <v>0.22459712238848961</v>
      </c>
      <c r="F25">
        <v>-9.0144360577442309E-2</v>
      </c>
      <c r="G25">
        <v>-0.16156557426229709</v>
      </c>
      <c r="H25">
        <v>-0.51248883395533584</v>
      </c>
      <c r="I25">
        <v>1.6460993843975379E-2</v>
      </c>
      <c r="J25">
        <v>1.5438013752055011E-2</v>
      </c>
      <c r="K25">
        <v>0.19502727610910439</v>
      </c>
      <c r="L25">
        <v>9.5830751323005295E-2</v>
      </c>
      <c r="M25">
        <v>1.6443521774087099E-2</v>
      </c>
      <c r="N25">
        <v>-2.3191772767091071E-2</v>
      </c>
      <c r="O25">
        <v>0.18839796959187841</v>
      </c>
      <c r="P25">
        <v>0.43225497701990812</v>
      </c>
    </row>
    <row r="27" spans="1:16" x14ac:dyDescent="0.35">
      <c r="D27">
        <f xml:space="preserve"> SUM(D29:D52)</f>
        <v>9</v>
      </c>
      <c r="E27">
        <f t="shared" ref="E27:P27" si="0" xml:space="preserve"> SUM(E29:E52)</f>
        <v>24</v>
      </c>
      <c r="F27">
        <f t="shared" si="0"/>
        <v>17</v>
      </c>
      <c r="G27">
        <f t="shared" si="0"/>
        <v>20</v>
      </c>
      <c r="H27">
        <f t="shared" si="0"/>
        <v>13</v>
      </c>
      <c r="I27">
        <f t="shared" si="0"/>
        <v>0</v>
      </c>
      <c r="J27">
        <f t="shared" si="0"/>
        <v>6</v>
      </c>
      <c r="K27">
        <f t="shared" si="0"/>
        <v>13</v>
      </c>
      <c r="L27">
        <f t="shared" si="0"/>
        <v>7</v>
      </c>
      <c r="M27">
        <f t="shared" si="0"/>
        <v>0</v>
      </c>
      <c r="N27">
        <f t="shared" si="0"/>
        <v>0</v>
      </c>
      <c r="O27">
        <f t="shared" si="0"/>
        <v>16</v>
      </c>
      <c r="P27">
        <f t="shared" si="0"/>
        <v>16</v>
      </c>
    </row>
    <row r="29" spans="1:16" x14ac:dyDescent="0.35">
      <c r="D29">
        <f>IF(ABS(D2)&gt;0.1, 1, 0)</f>
        <v>0</v>
      </c>
      <c r="E29">
        <f t="shared" ref="E29:P29" si="1">IF(ABS(E2)&gt;0.1, 1, 0)</f>
        <v>1</v>
      </c>
      <c r="F29">
        <f t="shared" si="1"/>
        <v>1</v>
      </c>
      <c r="G29">
        <f t="shared" si="1"/>
        <v>1</v>
      </c>
      <c r="H29">
        <f t="shared" si="1"/>
        <v>0</v>
      </c>
      <c r="I29">
        <f t="shared" si="1"/>
        <v>0</v>
      </c>
      <c r="J29">
        <f t="shared" si="1"/>
        <v>1</v>
      </c>
      <c r="K29">
        <f t="shared" si="1"/>
        <v>0</v>
      </c>
      <c r="L29">
        <f t="shared" si="1"/>
        <v>0</v>
      </c>
      <c r="M29">
        <f t="shared" si="1"/>
        <v>0</v>
      </c>
      <c r="N29">
        <f t="shared" si="1"/>
        <v>0</v>
      </c>
      <c r="O29">
        <f t="shared" si="1"/>
        <v>0</v>
      </c>
      <c r="P29">
        <f t="shared" si="1"/>
        <v>0</v>
      </c>
    </row>
    <row r="30" spans="1:16" x14ac:dyDescent="0.35">
      <c r="D30">
        <f t="shared" ref="D30:P45" si="2">IF(ABS(D3)&gt;0.1, 1, 0)</f>
        <v>0</v>
      </c>
      <c r="E30">
        <f t="shared" si="2"/>
        <v>1</v>
      </c>
      <c r="F30">
        <f t="shared" si="2"/>
        <v>1</v>
      </c>
      <c r="G30">
        <f t="shared" si="2"/>
        <v>1</v>
      </c>
      <c r="H30">
        <f t="shared" si="2"/>
        <v>0</v>
      </c>
      <c r="I30">
        <f t="shared" si="2"/>
        <v>0</v>
      </c>
      <c r="J30">
        <f t="shared" si="2"/>
        <v>1</v>
      </c>
      <c r="K30">
        <f t="shared" si="2"/>
        <v>0</v>
      </c>
      <c r="L30">
        <f t="shared" si="2"/>
        <v>0</v>
      </c>
      <c r="M30">
        <f t="shared" si="2"/>
        <v>0</v>
      </c>
      <c r="N30">
        <f t="shared" si="2"/>
        <v>0</v>
      </c>
      <c r="O30">
        <f t="shared" si="2"/>
        <v>1</v>
      </c>
      <c r="P30">
        <f t="shared" si="2"/>
        <v>0</v>
      </c>
    </row>
    <row r="31" spans="1:16" x14ac:dyDescent="0.35">
      <c r="D31">
        <f t="shared" si="2"/>
        <v>0</v>
      </c>
      <c r="E31">
        <f t="shared" si="2"/>
        <v>1</v>
      </c>
      <c r="F31">
        <f t="shared" si="2"/>
        <v>1</v>
      </c>
      <c r="G31">
        <f t="shared" si="2"/>
        <v>1</v>
      </c>
      <c r="H31">
        <f t="shared" si="2"/>
        <v>0</v>
      </c>
      <c r="I31">
        <f t="shared" si="2"/>
        <v>0</v>
      </c>
      <c r="J31">
        <f t="shared" si="2"/>
        <v>1</v>
      </c>
      <c r="K31">
        <f t="shared" si="2"/>
        <v>0</v>
      </c>
      <c r="L31">
        <f t="shared" si="2"/>
        <v>0</v>
      </c>
      <c r="M31">
        <f t="shared" si="2"/>
        <v>0</v>
      </c>
      <c r="N31">
        <f t="shared" si="2"/>
        <v>0</v>
      </c>
      <c r="O31">
        <f t="shared" si="2"/>
        <v>1</v>
      </c>
      <c r="P31">
        <f t="shared" si="2"/>
        <v>0</v>
      </c>
    </row>
    <row r="32" spans="1:16" x14ac:dyDescent="0.35">
      <c r="D32">
        <f t="shared" si="2"/>
        <v>0</v>
      </c>
      <c r="E32">
        <f t="shared" si="2"/>
        <v>1</v>
      </c>
      <c r="F32">
        <f t="shared" si="2"/>
        <v>1</v>
      </c>
      <c r="G32">
        <f t="shared" si="2"/>
        <v>1</v>
      </c>
      <c r="H32">
        <f t="shared" si="2"/>
        <v>0</v>
      </c>
      <c r="I32">
        <f t="shared" si="2"/>
        <v>0</v>
      </c>
      <c r="J32">
        <f t="shared" si="2"/>
        <v>1</v>
      </c>
      <c r="K32">
        <f t="shared" si="2"/>
        <v>0</v>
      </c>
      <c r="L32">
        <f t="shared" si="2"/>
        <v>0</v>
      </c>
      <c r="M32">
        <f t="shared" si="2"/>
        <v>0</v>
      </c>
      <c r="N32">
        <f t="shared" si="2"/>
        <v>0</v>
      </c>
      <c r="O32">
        <f>IF(ABS(O5)&gt;0.1, 1, 0)</f>
        <v>0</v>
      </c>
      <c r="P32">
        <f t="shared" si="2"/>
        <v>0</v>
      </c>
    </row>
    <row r="33" spans="4:16" x14ac:dyDescent="0.35">
      <c r="D33">
        <f t="shared" si="2"/>
        <v>0</v>
      </c>
      <c r="E33">
        <f t="shared" si="2"/>
        <v>1</v>
      </c>
      <c r="F33">
        <f t="shared" si="2"/>
        <v>0</v>
      </c>
      <c r="G33">
        <f t="shared" si="2"/>
        <v>1</v>
      </c>
      <c r="H33">
        <f t="shared" si="2"/>
        <v>0</v>
      </c>
      <c r="I33">
        <f t="shared" si="2"/>
        <v>0</v>
      </c>
      <c r="J33">
        <f t="shared" si="2"/>
        <v>0</v>
      </c>
      <c r="K33">
        <f t="shared" si="2"/>
        <v>0</v>
      </c>
      <c r="L33">
        <f t="shared" si="2"/>
        <v>0</v>
      </c>
      <c r="M33">
        <f t="shared" si="2"/>
        <v>0</v>
      </c>
      <c r="N33">
        <f t="shared" si="2"/>
        <v>0</v>
      </c>
      <c r="O33">
        <f t="shared" si="2"/>
        <v>0</v>
      </c>
      <c r="P33">
        <f t="shared" si="2"/>
        <v>0</v>
      </c>
    </row>
    <row r="34" spans="4:16" x14ac:dyDescent="0.35">
      <c r="D34">
        <f t="shared" si="2"/>
        <v>0</v>
      </c>
      <c r="E34">
        <f t="shared" si="2"/>
        <v>1</v>
      </c>
      <c r="F34">
        <f t="shared" si="2"/>
        <v>1</v>
      </c>
      <c r="G34">
        <f t="shared" si="2"/>
        <v>1</v>
      </c>
      <c r="H34">
        <f t="shared" si="2"/>
        <v>0</v>
      </c>
      <c r="I34">
        <f t="shared" si="2"/>
        <v>0</v>
      </c>
      <c r="J34">
        <f t="shared" si="2"/>
        <v>0</v>
      </c>
      <c r="K34">
        <f t="shared" si="2"/>
        <v>0</v>
      </c>
      <c r="L34">
        <f t="shared" si="2"/>
        <v>0</v>
      </c>
      <c r="M34">
        <f t="shared" si="2"/>
        <v>0</v>
      </c>
      <c r="N34">
        <f t="shared" si="2"/>
        <v>0</v>
      </c>
      <c r="O34">
        <f t="shared" si="2"/>
        <v>0</v>
      </c>
      <c r="P34">
        <f t="shared" si="2"/>
        <v>0</v>
      </c>
    </row>
    <row r="35" spans="4:16" x14ac:dyDescent="0.35">
      <c r="D35">
        <f t="shared" si="2"/>
        <v>0</v>
      </c>
      <c r="E35">
        <f t="shared" si="2"/>
        <v>1</v>
      </c>
      <c r="F35">
        <f t="shared" si="2"/>
        <v>0</v>
      </c>
      <c r="G35">
        <f t="shared" si="2"/>
        <v>1</v>
      </c>
      <c r="H35">
        <f t="shared" si="2"/>
        <v>0</v>
      </c>
      <c r="I35">
        <f t="shared" si="2"/>
        <v>0</v>
      </c>
      <c r="J35">
        <f t="shared" si="2"/>
        <v>0</v>
      </c>
      <c r="K35">
        <f t="shared" si="2"/>
        <v>0</v>
      </c>
      <c r="L35">
        <f t="shared" si="2"/>
        <v>0</v>
      </c>
      <c r="M35">
        <f t="shared" si="2"/>
        <v>0</v>
      </c>
      <c r="N35">
        <f t="shared" si="2"/>
        <v>0</v>
      </c>
      <c r="O35">
        <f t="shared" si="2"/>
        <v>0</v>
      </c>
      <c r="P35">
        <f t="shared" si="2"/>
        <v>0</v>
      </c>
    </row>
    <row r="36" spans="4:16" x14ac:dyDescent="0.35">
      <c r="D36">
        <f t="shared" si="2"/>
        <v>0</v>
      </c>
      <c r="E36">
        <f t="shared" si="2"/>
        <v>1</v>
      </c>
      <c r="F36">
        <f t="shared" si="2"/>
        <v>1</v>
      </c>
      <c r="G36">
        <f t="shared" si="2"/>
        <v>1</v>
      </c>
      <c r="H36">
        <f t="shared" si="2"/>
        <v>0</v>
      </c>
      <c r="I36">
        <f t="shared" si="2"/>
        <v>0</v>
      </c>
      <c r="J36">
        <f t="shared" si="2"/>
        <v>1</v>
      </c>
      <c r="K36">
        <f t="shared" si="2"/>
        <v>0</v>
      </c>
      <c r="L36">
        <f t="shared" si="2"/>
        <v>0</v>
      </c>
      <c r="M36">
        <f t="shared" si="2"/>
        <v>0</v>
      </c>
      <c r="N36">
        <f t="shared" si="2"/>
        <v>0</v>
      </c>
      <c r="O36">
        <f t="shared" si="2"/>
        <v>0</v>
      </c>
      <c r="P36">
        <f t="shared" si="2"/>
        <v>0</v>
      </c>
    </row>
    <row r="37" spans="4:16" x14ac:dyDescent="0.35">
      <c r="D37">
        <f t="shared" si="2"/>
        <v>1</v>
      </c>
      <c r="E37">
        <f t="shared" si="2"/>
        <v>1</v>
      </c>
      <c r="F37">
        <f t="shared" si="2"/>
        <v>1</v>
      </c>
      <c r="G37">
        <f t="shared" si="2"/>
        <v>1</v>
      </c>
      <c r="H37">
        <f t="shared" si="2"/>
        <v>1</v>
      </c>
      <c r="I37">
        <f t="shared" si="2"/>
        <v>0</v>
      </c>
      <c r="J37">
        <f t="shared" si="2"/>
        <v>1</v>
      </c>
      <c r="K37">
        <f t="shared" si="2"/>
        <v>1</v>
      </c>
      <c r="L37">
        <f t="shared" si="2"/>
        <v>0</v>
      </c>
      <c r="M37">
        <f t="shared" si="2"/>
        <v>0</v>
      </c>
      <c r="N37">
        <f t="shared" si="2"/>
        <v>0</v>
      </c>
      <c r="O37">
        <f t="shared" si="2"/>
        <v>1</v>
      </c>
      <c r="P37">
        <f t="shared" si="2"/>
        <v>1</v>
      </c>
    </row>
    <row r="38" spans="4:16" x14ac:dyDescent="0.35">
      <c r="D38">
        <f t="shared" si="2"/>
        <v>1</v>
      </c>
      <c r="E38">
        <f t="shared" si="2"/>
        <v>1</v>
      </c>
      <c r="F38">
        <f t="shared" si="2"/>
        <v>1</v>
      </c>
      <c r="G38">
        <f t="shared" si="2"/>
        <v>1</v>
      </c>
      <c r="H38">
        <f t="shared" si="2"/>
        <v>1</v>
      </c>
      <c r="I38">
        <f t="shared" si="2"/>
        <v>0</v>
      </c>
      <c r="J38">
        <f t="shared" si="2"/>
        <v>0</v>
      </c>
      <c r="K38">
        <f t="shared" si="2"/>
        <v>1</v>
      </c>
      <c r="L38">
        <f t="shared" si="2"/>
        <v>0</v>
      </c>
      <c r="M38">
        <f t="shared" si="2"/>
        <v>0</v>
      </c>
      <c r="N38">
        <f t="shared" si="2"/>
        <v>0</v>
      </c>
      <c r="O38">
        <f t="shared" si="2"/>
        <v>0</v>
      </c>
      <c r="P38">
        <f t="shared" si="2"/>
        <v>1</v>
      </c>
    </row>
    <row r="39" spans="4:16" x14ac:dyDescent="0.35">
      <c r="D39">
        <f t="shared" si="2"/>
        <v>1</v>
      </c>
      <c r="E39">
        <f t="shared" si="2"/>
        <v>1</v>
      </c>
      <c r="F39">
        <f t="shared" si="2"/>
        <v>1</v>
      </c>
      <c r="G39">
        <f t="shared" si="2"/>
        <v>0</v>
      </c>
      <c r="H39">
        <f t="shared" si="2"/>
        <v>1</v>
      </c>
      <c r="I39">
        <f t="shared" si="2"/>
        <v>0</v>
      </c>
      <c r="J39">
        <f t="shared" si="2"/>
        <v>0</v>
      </c>
      <c r="K39">
        <f t="shared" si="2"/>
        <v>1</v>
      </c>
      <c r="L39">
        <f t="shared" si="2"/>
        <v>0</v>
      </c>
      <c r="M39">
        <f t="shared" si="2"/>
        <v>0</v>
      </c>
      <c r="N39">
        <f t="shared" si="2"/>
        <v>0</v>
      </c>
      <c r="O39">
        <f t="shared" si="2"/>
        <v>1</v>
      </c>
      <c r="P39">
        <f t="shared" si="2"/>
        <v>1</v>
      </c>
    </row>
    <row r="40" spans="4:16" x14ac:dyDescent="0.35">
      <c r="D40">
        <f t="shared" si="2"/>
        <v>0</v>
      </c>
      <c r="E40">
        <f t="shared" si="2"/>
        <v>1</v>
      </c>
      <c r="F40">
        <f t="shared" si="2"/>
        <v>0</v>
      </c>
      <c r="G40">
        <f t="shared" si="2"/>
        <v>0</v>
      </c>
      <c r="H40">
        <f t="shared" si="2"/>
        <v>1</v>
      </c>
      <c r="I40">
        <f t="shared" si="2"/>
        <v>0</v>
      </c>
      <c r="J40">
        <f t="shared" si="2"/>
        <v>0</v>
      </c>
      <c r="K40">
        <f t="shared" si="2"/>
        <v>1</v>
      </c>
      <c r="L40">
        <f t="shared" si="2"/>
        <v>1</v>
      </c>
      <c r="M40">
        <f t="shared" si="2"/>
        <v>0</v>
      </c>
      <c r="N40">
        <f t="shared" si="2"/>
        <v>0</v>
      </c>
      <c r="O40">
        <f t="shared" si="2"/>
        <v>1</v>
      </c>
      <c r="P40">
        <f t="shared" si="2"/>
        <v>1</v>
      </c>
    </row>
    <row r="41" spans="4:16" x14ac:dyDescent="0.35">
      <c r="D41">
        <f t="shared" si="2"/>
        <v>1</v>
      </c>
      <c r="E41">
        <f t="shared" si="2"/>
        <v>1</v>
      </c>
      <c r="F41">
        <f t="shared" si="2"/>
        <v>1</v>
      </c>
      <c r="G41">
        <f t="shared" si="2"/>
        <v>1</v>
      </c>
      <c r="H41">
        <f t="shared" si="2"/>
        <v>0</v>
      </c>
      <c r="I41">
        <f t="shared" si="2"/>
        <v>0</v>
      </c>
      <c r="J41">
        <f t="shared" si="2"/>
        <v>0</v>
      </c>
      <c r="K41">
        <f t="shared" si="2"/>
        <v>1</v>
      </c>
      <c r="L41">
        <f t="shared" si="2"/>
        <v>0</v>
      </c>
      <c r="M41">
        <f t="shared" si="2"/>
        <v>0</v>
      </c>
      <c r="N41">
        <f t="shared" si="2"/>
        <v>0</v>
      </c>
      <c r="O41">
        <f t="shared" si="2"/>
        <v>1</v>
      </c>
      <c r="P41">
        <f t="shared" si="2"/>
        <v>1</v>
      </c>
    </row>
    <row r="42" spans="4:16" x14ac:dyDescent="0.35">
      <c r="D42">
        <f t="shared" si="2"/>
        <v>0</v>
      </c>
      <c r="E42">
        <f t="shared" si="2"/>
        <v>1</v>
      </c>
      <c r="F42">
        <f t="shared" si="2"/>
        <v>1</v>
      </c>
      <c r="G42">
        <f t="shared" si="2"/>
        <v>1</v>
      </c>
      <c r="H42">
        <f t="shared" si="2"/>
        <v>1</v>
      </c>
      <c r="I42">
        <f t="shared" si="2"/>
        <v>0</v>
      </c>
      <c r="J42">
        <f t="shared" si="2"/>
        <v>0</v>
      </c>
      <c r="K42">
        <f t="shared" si="2"/>
        <v>1</v>
      </c>
      <c r="L42">
        <f t="shared" si="2"/>
        <v>1</v>
      </c>
      <c r="M42">
        <f t="shared" si="2"/>
        <v>0</v>
      </c>
      <c r="N42">
        <f t="shared" si="2"/>
        <v>0</v>
      </c>
      <c r="O42">
        <f t="shared" si="2"/>
        <v>0</v>
      </c>
      <c r="P42">
        <f t="shared" si="2"/>
        <v>1</v>
      </c>
    </row>
    <row r="43" spans="4:16" x14ac:dyDescent="0.35">
      <c r="D43">
        <f t="shared" si="2"/>
        <v>1</v>
      </c>
      <c r="E43">
        <f t="shared" si="2"/>
        <v>1</v>
      </c>
      <c r="F43">
        <f t="shared" si="2"/>
        <v>0</v>
      </c>
      <c r="G43">
        <f t="shared" si="2"/>
        <v>0</v>
      </c>
      <c r="H43">
        <f t="shared" si="2"/>
        <v>1</v>
      </c>
      <c r="I43">
        <f t="shared" si="2"/>
        <v>0</v>
      </c>
      <c r="J43">
        <f t="shared" si="2"/>
        <v>0</v>
      </c>
      <c r="K43">
        <f t="shared" si="2"/>
        <v>1</v>
      </c>
      <c r="L43">
        <f t="shared" si="2"/>
        <v>0</v>
      </c>
      <c r="M43">
        <f t="shared" si="2"/>
        <v>0</v>
      </c>
      <c r="N43">
        <f t="shared" si="2"/>
        <v>0</v>
      </c>
      <c r="O43">
        <f t="shared" si="2"/>
        <v>1</v>
      </c>
      <c r="P43">
        <f t="shared" si="2"/>
        <v>1</v>
      </c>
    </row>
    <row r="44" spans="4:16" x14ac:dyDescent="0.35">
      <c r="D44">
        <f t="shared" si="2"/>
        <v>0</v>
      </c>
      <c r="E44">
        <f t="shared" si="2"/>
        <v>1</v>
      </c>
      <c r="F44">
        <f t="shared" si="2"/>
        <v>0</v>
      </c>
      <c r="G44">
        <f t="shared" si="2"/>
        <v>0</v>
      </c>
      <c r="H44">
        <f t="shared" si="2"/>
        <v>1</v>
      </c>
      <c r="I44">
        <f t="shared" si="2"/>
        <v>0</v>
      </c>
      <c r="J44">
        <f t="shared" si="2"/>
        <v>0</v>
      </c>
      <c r="K44">
        <f t="shared" si="2"/>
        <v>1</v>
      </c>
      <c r="L44">
        <f t="shared" si="2"/>
        <v>1</v>
      </c>
      <c r="M44">
        <f t="shared" si="2"/>
        <v>0</v>
      </c>
      <c r="N44">
        <f t="shared" si="2"/>
        <v>0</v>
      </c>
      <c r="O44">
        <f t="shared" si="2"/>
        <v>1</v>
      </c>
      <c r="P44">
        <f t="shared" si="2"/>
        <v>1</v>
      </c>
    </row>
    <row r="45" spans="4:16" x14ac:dyDescent="0.35">
      <c r="D45">
        <f t="shared" si="2"/>
        <v>1</v>
      </c>
      <c r="E45">
        <f t="shared" si="2"/>
        <v>1</v>
      </c>
      <c r="F45">
        <f t="shared" si="2"/>
        <v>1</v>
      </c>
      <c r="G45">
        <f t="shared" si="2"/>
        <v>1</v>
      </c>
      <c r="H45">
        <f t="shared" si="2"/>
        <v>0</v>
      </c>
      <c r="I45">
        <f t="shared" si="2"/>
        <v>0</v>
      </c>
      <c r="J45">
        <f t="shared" si="2"/>
        <v>0</v>
      </c>
      <c r="K45">
        <f t="shared" si="2"/>
        <v>0</v>
      </c>
      <c r="L45">
        <f t="shared" si="2"/>
        <v>0</v>
      </c>
      <c r="M45">
        <f t="shared" si="2"/>
        <v>0</v>
      </c>
      <c r="N45">
        <f t="shared" si="2"/>
        <v>0</v>
      </c>
      <c r="O45">
        <f t="shared" si="2"/>
        <v>1</v>
      </c>
      <c r="P45">
        <f t="shared" si="2"/>
        <v>1</v>
      </c>
    </row>
    <row r="46" spans="4:16" x14ac:dyDescent="0.35">
      <c r="D46">
        <f t="shared" ref="D46:P52" si="3">IF(ABS(D19)&gt;0.1, 1, 0)</f>
        <v>0</v>
      </c>
      <c r="E46">
        <f t="shared" si="3"/>
        <v>1</v>
      </c>
      <c r="F46">
        <f t="shared" si="3"/>
        <v>1</v>
      </c>
      <c r="G46">
        <f t="shared" si="3"/>
        <v>1</v>
      </c>
      <c r="H46">
        <f t="shared" si="3"/>
        <v>1</v>
      </c>
      <c r="I46">
        <f t="shared" si="3"/>
        <v>0</v>
      </c>
      <c r="J46">
        <f t="shared" si="3"/>
        <v>0</v>
      </c>
      <c r="K46">
        <f t="shared" si="3"/>
        <v>0</v>
      </c>
      <c r="L46">
        <f t="shared" si="3"/>
        <v>1</v>
      </c>
      <c r="M46">
        <f t="shared" si="3"/>
        <v>0</v>
      </c>
      <c r="N46">
        <f t="shared" si="3"/>
        <v>0</v>
      </c>
      <c r="O46">
        <f t="shared" si="3"/>
        <v>1</v>
      </c>
      <c r="P46">
        <f t="shared" si="3"/>
        <v>1</v>
      </c>
    </row>
    <row r="47" spans="4:16" x14ac:dyDescent="0.35">
      <c r="D47">
        <f t="shared" si="3"/>
        <v>0</v>
      </c>
      <c r="E47">
        <f t="shared" si="3"/>
        <v>1</v>
      </c>
      <c r="F47">
        <f t="shared" si="3"/>
        <v>1</v>
      </c>
      <c r="G47">
        <f t="shared" si="3"/>
        <v>1</v>
      </c>
      <c r="H47">
        <f t="shared" si="3"/>
        <v>1</v>
      </c>
      <c r="I47">
        <f t="shared" si="3"/>
        <v>0</v>
      </c>
      <c r="J47">
        <f t="shared" si="3"/>
        <v>0</v>
      </c>
      <c r="K47">
        <f t="shared" si="3"/>
        <v>1</v>
      </c>
      <c r="L47">
        <f t="shared" si="3"/>
        <v>1</v>
      </c>
      <c r="M47">
        <f t="shared" si="3"/>
        <v>0</v>
      </c>
      <c r="N47">
        <f t="shared" si="3"/>
        <v>0</v>
      </c>
      <c r="O47">
        <f t="shared" si="3"/>
        <v>1</v>
      </c>
      <c r="P47">
        <f t="shared" si="3"/>
        <v>1</v>
      </c>
    </row>
    <row r="48" spans="4:16" x14ac:dyDescent="0.35">
      <c r="D48">
        <f t="shared" si="3"/>
        <v>1</v>
      </c>
      <c r="E48">
        <f t="shared" si="3"/>
        <v>1</v>
      </c>
      <c r="F48">
        <f t="shared" si="3"/>
        <v>1</v>
      </c>
      <c r="G48">
        <f t="shared" si="3"/>
        <v>1</v>
      </c>
      <c r="H48">
        <f t="shared" si="3"/>
        <v>1</v>
      </c>
      <c r="I48">
        <f t="shared" si="3"/>
        <v>0</v>
      </c>
      <c r="J48">
        <f t="shared" si="3"/>
        <v>0</v>
      </c>
      <c r="K48">
        <f t="shared" si="3"/>
        <v>1</v>
      </c>
      <c r="L48">
        <f t="shared" si="3"/>
        <v>1</v>
      </c>
      <c r="M48">
        <f t="shared" si="3"/>
        <v>0</v>
      </c>
      <c r="N48">
        <f t="shared" si="3"/>
        <v>0</v>
      </c>
      <c r="O48">
        <f t="shared" si="3"/>
        <v>1</v>
      </c>
      <c r="P48">
        <f t="shared" si="3"/>
        <v>1</v>
      </c>
    </row>
    <row r="49" spans="4:16" x14ac:dyDescent="0.35">
      <c r="D49">
        <f t="shared" si="3"/>
        <v>1</v>
      </c>
      <c r="E49">
        <f t="shared" si="3"/>
        <v>1</v>
      </c>
      <c r="F49">
        <f t="shared" si="3"/>
        <v>0</v>
      </c>
      <c r="G49">
        <f t="shared" si="3"/>
        <v>1</v>
      </c>
      <c r="H49">
        <f t="shared" si="3"/>
        <v>0</v>
      </c>
      <c r="I49">
        <f t="shared" si="3"/>
        <v>0</v>
      </c>
      <c r="J49">
        <f t="shared" si="3"/>
        <v>0</v>
      </c>
      <c r="K49">
        <f t="shared" si="3"/>
        <v>0</v>
      </c>
      <c r="L49">
        <f t="shared" si="3"/>
        <v>0</v>
      </c>
      <c r="M49">
        <f t="shared" si="3"/>
        <v>0</v>
      </c>
      <c r="N49">
        <f t="shared" si="3"/>
        <v>0</v>
      </c>
      <c r="O49">
        <f t="shared" si="3"/>
        <v>1</v>
      </c>
      <c r="P49">
        <f t="shared" si="3"/>
        <v>1</v>
      </c>
    </row>
    <row r="50" spans="4:16" x14ac:dyDescent="0.35">
      <c r="D50">
        <f t="shared" si="3"/>
        <v>1</v>
      </c>
      <c r="E50">
        <f t="shared" si="3"/>
        <v>1</v>
      </c>
      <c r="F50">
        <f t="shared" si="3"/>
        <v>1</v>
      </c>
      <c r="G50">
        <f t="shared" si="3"/>
        <v>1</v>
      </c>
      <c r="H50">
        <f t="shared" si="3"/>
        <v>1</v>
      </c>
      <c r="I50">
        <f t="shared" si="3"/>
        <v>0</v>
      </c>
      <c r="J50">
        <f t="shared" si="3"/>
        <v>0</v>
      </c>
      <c r="K50">
        <f t="shared" si="3"/>
        <v>1</v>
      </c>
      <c r="L50">
        <f t="shared" si="3"/>
        <v>0</v>
      </c>
      <c r="M50">
        <f t="shared" si="3"/>
        <v>0</v>
      </c>
      <c r="N50">
        <f t="shared" si="3"/>
        <v>0</v>
      </c>
      <c r="O50">
        <f t="shared" si="3"/>
        <v>1</v>
      </c>
      <c r="P50">
        <f t="shared" si="3"/>
        <v>1</v>
      </c>
    </row>
    <row r="51" spans="4:16" x14ac:dyDescent="0.35">
      <c r="D51">
        <f t="shared" si="3"/>
        <v>0</v>
      </c>
      <c r="E51">
        <f t="shared" si="3"/>
        <v>1</v>
      </c>
      <c r="F51">
        <f t="shared" si="3"/>
        <v>1</v>
      </c>
      <c r="G51">
        <f t="shared" si="3"/>
        <v>1</v>
      </c>
      <c r="H51">
        <f t="shared" si="3"/>
        <v>1</v>
      </c>
      <c r="I51">
        <f t="shared" si="3"/>
        <v>0</v>
      </c>
      <c r="J51">
        <f t="shared" si="3"/>
        <v>0</v>
      </c>
      <c r="K51">
        <f t="shared" si="3"/>
        <v>1</v>
      </c>
      <c r="L51">
        <f t="shared" si="3"/>
        <v>1</v>
      </c>
      <c r="M51">
        <f t="shared" si="3"/>
        <v>0</v>
      </c>
      <c r="N51">
        <f t="shared" si="3"/>
        <v>0</v>
      </c>
      <c r="O51">
        <f t="shared" si="3"/>
        <v>1</v>
      </c>
      <c r="P51">
        <f t="shared" si="3"/>
        <v>1</v>
      </c>
    </row>
    <row r="52" spans="4:16" x14ac:dyDescent="0.35">
      <c r="D52">
        <f t="shared" si="3"/>
        <v>0</v>
      </c>
      <c r="E52">
        <f t="shared" si="3"/>
        <v>1</v>
      </c>
      <c r="F52">
        <f t="shared" si="3"/>
        <v>0</v>
      </c>
      <c r="G52">
        <f t="shared" si="3"/>
        <v>1</v>
      </c>
      <c r="H52">
        <f t="shared" si="3"/>
        <v>1</v>
      </c>
      <c r="I52">
        <f t="shared" si="3"/>
        <v>0</v>
      </c>
      <c r="J52">
        <f t="shared" si="3"/>
        <v>0</v>
      </c>
      <c r="K52">
        <f t="shared" si="3"/>
        <v>1</v>
      </c>
      <c r="L52">
        <f t="shared" si="3"/>
        <v>0</v>
      </c>
      <c r="M52">
        <f t="shared" si="3"/>
        <v>0</v>
      </c>
      <c r="N52">
        <f t="shared" si="3"/>
        <v>0</v>
      </c>
      <c r="O52">
        <f t="shared" si="3"/>
        <v>1</v>
      </c>
      <c r="P52">
        <f t="shared" si="3"/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Bhagwat, Sarang Sunil</cp:lastModifiedBy>
  <dcterms:created xsi:type="dcterms:W3CDTF">2024-12-24T23:07:37Z</dcterms:created>
  <dcterms:modified xsi:type="dcterms:W3CDTF">2024-12-25T06:15:08Z</dcterms:modified>
</cp:coreProperties>
</file>