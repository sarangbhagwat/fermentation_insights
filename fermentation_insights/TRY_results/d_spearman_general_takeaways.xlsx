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E56E6C46-B08C-430E-BE99-9E9B863496B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2" i="1" l="1"/>
  <c r="O52" i="1"/>
  <c r="N52" i="1"/>
  <c r="M52" i="1"/>
  <c r="L52" i="1"/>
  <c r="K52" i="1"/>
  <c r="J52" i="1"/>
  <c r="I52" i="1"/>
  <c r="H52" i="1"/>
  <c r="G52" i="1"/>
  <c r="F52" i="1"/>
  <c r="E52" i="1"/>
  <c r="D52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P29" i="1"/>
  <c r="P27" i="1" s="1"/>
  <c r="O29" i="1"/>
  <c r="O27" i="1" s="1"/>
  <c r="N29" i="1"/>
  <c r="N27" i="1" s="1"/>
  <c r="M29" i="1"/>
  <c r="M27" i="1" s="1"/>
  <c r="L29" i="1"/>
  <c r="L27" i="1" s="1"/>
  <c r="K29" i="1"/>
  <c r="K27" i="1" s="1"/>
  <c r="J29" i="1"/>
  <c r="J27" i="1" s="1"/>
  <c r="I29" i="1"/>
  <c r="I27" i="1" s="1"/>
  <c r="H29" i="1"/>
  <c r="H27" i="1" s="1"/>
  <c r="G29" i="1"/>
  <c r="G27" i="1" s="1"/>
  <c r="F29" i="1"/>
  <c r="F27" i="1" s="1"/>
  <c r="E29" i="1"/>
  <c r="E27" i="1" s="1"/>
  <c r="D29" i="1"/>
  <c r="D27" i="1" s="1"/>
</calcChain>
</file>

<file path=xl/sharedStrings.xml><?xml version="1.0" encoding="utf-8"?>
<sst xmlns="http://schemas.openxmlformats.org/spreadsheetml/2006/main" count="63" uniqueCount="25">
  <si>
    <t>product</t>
  </si>
  <si>
    <t>feedstock</t>
  </si>
  <si>
    <t>fermentation cell mass yield</t>
  </si>
  <si>
    <t>feedstock unit price</t>
  </si>
  <si>
    <t>feedstock capacity</t>
  </si>
  <si>
    <t>operating time</t>
  </si>
  <si>
    <t>natural gas unit price</t>
  </si>
  <si>
    <t>CSL unit price</t>
  </si>
  <si>
    <t>CSL loading</t>
  </si>
  <si>
    <t>electricity unit price</t>
  </si>
  <si>
    <t>inoculum ratio</t>
  </si>
  <si>
    <t>seed train fermentation ratio</t>
  </si>
  <si>
    <t>product storage time</t>
  </si>
  <si>
    <t>boiler efficiency</t>
  </si>
  <si>
    <t>turbogenerator efficiency</t>
  </si>
  <si>
    <t>TAL</t>
  </si>
  <si>
    <t>glucose</t>
  </si>
  <si>
    <t>sugarcane</t>
  </si>
  <si>
    <t>cornstover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</si>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</sst>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abSelected="1" workbookViewId="0">
      <selection activeCell="T22" sqref="T22"/>
    </sheetView>
  </sheetViews>
  <sheetFormatPr defaultRowHeight="14.5" x14ac:dyDescent="0.35"/>
  <sheetData>
    <row r="1" spans="1:16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35">
      <c r="A2" s="1">
        <v>0</v>
      </c>
      <c r="B2" t="s">
        <v>15</v>
      </c>
      <c r="C2" t="s">
        <v>16</v>
      </c>
      <c r="D2">
        <v>1.318488473953896E-2</v>
      </c>
      <c r="E2">
        <v>0.31682872331489331</v>
      </c>
      <c r="F2">
        <v>-0.17219406477625909</v>
      </c>
      <c r="G2">
        <v>-0.1178677354709419</v>
      </c>
      <c r="H2">
        <v>1.687091548366193E-2</v>
      </c>
      <c r="I2">
        <v>-5.4721754887019552E-2</v>
      </c>
      <c r="J2">
        <v>-0.1185744902979612</v>
      </c>
      <c r="K2">
        <v>5.8962091848367391E-2</v>
      </c>
      <c r="L2">
        <v>6.7962031848127394E-2</v>
      </c>
      <c r="M2">
        <v>4.2303049212196853E-2</v>
      </c>
      <c r="N2">
        <v>-1.206350425401702E-2</v>
      </c>
      <c r="O2">
        <v>-2.528573314293257E-2</v>
      </c>
      <c r="P2">
        <v>9.8940683762735057E-2</v>
      </c>
    </row>
    <row r="3" spans="1:16" x14ac:dyDescent="0.35">
      <c r="A3" s="1">
        <v>1</v>
      </c>
      <c r="B3" t="s">
        <v>15</v>
      </c>
      <c r="C3" t="s">
        <v>17</v>
      </c>
      <c r="D3">
        <v>-9.1265165060660236E-2</v>
      </c>
      <c r="E3">
        <v>0.23453402613610461</v>
      </c>
      <c r="F3">
        <v>-0.27999356797427188</v>
      </c>
      <c r="G3">
        <v>-0.36624309697238788</v>
      </c>
      <c r="H3">
        <v>5.1304525218100871E-3</v>
      </c>
      <c r="I3">
        <v>-5.4353785415141659E-2</v>
      </c>
      <c r="J3">
        <v>-0.24496993987975951</v>
      </c>
      <c r="K3">
        <v>2.4362305449221799E-2</v>
      </c>
      <c r="L3">
        <v>7.8250873003492018E-3</v>
      </c>
      <c r="M3">
        <v>4.4648626594506378E-2</v>
      </c>
      <c r="N3">
        <v>8.5714902859611447E-3</v>
      </c>
      <c r="O3">
        <v>-0.1257984231936928</v>
      </c>
      <c r="P3">
        <v>2.3636350545402179E-2</v>
      </c>
    </row>
    <row r="4" spans="1:16" x14ac:dyDescent="0.35">
      <c r="A4" s="1">
        <v>2</v>
      </c>
      <c r="B4" t="s">
        <v>15</v>
      </c>
      <c r="C4" t="s">
        <v>18</v>
      </c>
      <c r="D4">
        <v>-2.1386005544022181E-2</v>
      </c>
      <c r="E4">
        <v>0.11435680942723769</v>
      </c>
      <c r="F4">
        <v>-0.21719059676238711</v>
      </c>
      <c r="G4">
        <v>-0.13180286321145279</v>
      </c>
      <c r="H4">
        <v>1.687206748826995E-2</v>
      </c>
      <c r="I4">
        <v>-7.4205320821283283E-2</v>
      </c>
      <c r="J4">
        <v>-0.1308385393541574</v>
      </c>
      <c r="K4">
        <v>5.541919767679071E-2</v>
      </c>
      <c r="L4">
        <v>4.2526346105384423E-2</v>
      </c>
      <c r="M4">
        <v>5.6322177288709148E-2</v>
      </c>
      <c r="N4">
        <v>2.4982371929487719E-2</v>
      </c>
      <c r="O4">
        <v>-0.1220763923055692</v>
      </c>
      <c r="P4">
        <v>2.0892467569870281E-2</v>
      </c>
    </row>
    <row r="5" spans="1:16" x14ac:dyDescent="0.35">
      <c r="A5" s="1">
        <v>3</v>
      </c>
      <c r="B5" t="s">
        <v>15</v>
      </c>
      <c r="C5" t="s">
        <v>19</v>
      </c>
      <c r="D5">
        <v>-4.9249156996627984E-3</v>
      </c>
      <c r="E5">
        <v>0.1012556370225481</v>
      </c>
      <c r="F5">
        <v>-0.2020549842199369</v>
      </c>
      <c r="G5">
        <v>-0.14307158028632111</v>
      </c>
      <c r="H5">
        <v>2.2158904635618541E-2</v>
      </c>
      <c r="I5">
        <v>-6.0177072708290827E-2</v>
      </c>
      <c r="J5">
        <v>-0.166374233496934</v>
      </c>
      <c r="K5">
        <v>6.0774867099468402E-2</v>
      </c>
      <c r="L5">
        <v>5.0219240876963507E-2</v>
      </c>
      <c r="M5">
        <v>6.7781071124284498E-2</v>
      </c>
      <c r="N5">
        <v>-9.2785331141324572E-3</v>
      </c>
      <c r="O5">
        <v>-9.6178368713474849E-2</v>
      </c>
      <c r="P5">
        <v>9.6715970863883449E-2</v>
      </c>
    </row>
    <row r="6" spans="1:16" x14ac:dyDescent="0.35">
      <c r="A6" s="1">
        <v>4</v>
      </c>
      <c r="B6" t="s">
        <v>20</v>
      </c>
      <c r="C6" t="s">
        <v>16</v>
      </c>
      <c r="D6">
        <v>3.431917727670911E-3</v>
      </c>
      <c r="E6">
        <v>0.29911876447505792</v>
      </c>
      <c r="F6">
        <v>-5.2765939063756262E-2</v>
      </c>
      <c r="G6">
        <v>-0.1037873591494366</v>
      </c>
      <c r="H6">
        <v>2.7353293413173649E-2</v>
      </c>
      <c r="I6">
        <v>6.0240720962883847E-2</v>
      </c>
      <c r="J6">
        <v>-8.9008484033936131E-2</v>
      </c>
      <c r="K6">
        <v>4.5455317821271282E-2</v>
      </c>
      <c r="L6">
        <v>-2.2685562742250968E-2</v>
      </c>
      <c r="M6">
        <v>-4.6713594854379419E-2</v>
      </c>
      <c r="N6">
        <v>4.082733130932524E-2</v>
      </c>
      <c r="O6">
        <v>2.074280297121189E-2</v>
      </c>
      <c r="P6">
        <v>2.2577274309097239E-2</v>
      </c>
    </row>
    <row r="7" spans="1:16" x14ac:dyDescent="0.35">
      <c r="A7" s="1">
        <v>5</v>
      </c>
      <c r="B7" t="s">
        <v>20</v>
      </c>
      <c r="C7" t="s">
        <v>17</v>
      </c>
      <c r="D7">
        <v>-9.3568118272473091E-2</v>
      </c>
      <c r="E7">
        <v>0.17050321001284011</v>
      </c>
      <c r="F7">
        <v>-0.147124140496562</v>
      </c>
      <c r="G7">
        <v>-0.30276994707978833</v>
      </c>
      <c r="H7">
        <v>1.066420265681063E-2</v>
      </c>
      <c r="I7">
        <v>3.7940023760095039E-2</v>
      </c>
      <c r="J7">
        <v>-0.16370014280057121</v>
      </c>
      <c r="K7">
        <v>7.2284641138564559E-2</v>
      </c>
      <c r="L7">
        <v>-2.2963483853935419E-2</v>
      </c>
      <c r="M7">
        <v>-1.6635906543626171E-2</v>
      </c>
      <c r="N7">
        <v>1.3129972519890081E-2</v>
      </c>
      <c r="O7">
        <v>-4.1211428845715381E-2</v>
      </c>
      <c r="P7">
        <v>-1.808484033936136E-2</v>
      </c>
    </row>
    <row r="8" spans="1:16" x14ac:dyDescent="0.35">
      <c r="A8" s="1">
        <v>6</v>
      </c>
      <c r="B8" t="s">
        <v>20</v>
      </c>
      <c r="C8" t="s">
        <v>18</v>
      </c>
      <c r="D8">
        <v>-8.3661262645050583E-2</v>
      </c>
      <c r="E8">
        <v>0.1173252373009492</v>
      </c>
      <c r="F8">
        <v>-0.11640776163104651</v>
      </c>
      <c r="G8">
        <v>-0.11004399217596871</v>
      </c>
      <c r="H8">
        <v>-9.8720074880299519E-3</v>
      </c>
      <c r="I8">
        <v>4.3243372973491893E-2</v>
      </c>
      <c r="J8">
        <v>-9.2903219612878452E-2</v>
      </c>
      <c r="K8">
        <v>6.2656762627050513E-2</v>
      </c>
      <c r="L8">
        <v>-3.6171024684098739E-2</v>
      </c>
      <c r="M8">
        <v>-3.3747878991515969E-2</v>
      </c>
      <c r="N8">
        <v>6.3801567206268825E-2</v>
      </c>
      <c r="O8">
        <v>-6.0723890895563577E-2</v>
      </c>
      <c r="P8">
        <v>-4.3709166836667347E-2</v>
      </c>
    </row>
    <row r="9" spans="1:16" x14ac:dyDescent="0.35">
      <c r="A9" s="1">
        <v>7</v>
      </c>
      <c r="B9" t="s">
        <v>20</v>
      </c>
      <c r="C9" t="s">
        <v>19</v>
      </c>
      <c r="D9">
        <v>-2.5848007392029571E-2</v>
      </c>
      <c r="E9">
        <v>0.1025862023448094</v>
      </c>
      <c r="F9">
        <v>-0.1100902643610574</v>
      </c>
      <c r="G9">
        <v>-0.1228314353257413</v>
      </c>
      <c r="H9">
        <v>5.9038316153264617E-3</v>
      </c>
      <c r="I9">
        <v>6.533181332725331E-2</v>
      </c>
      <c r="J9">
        <v>-0.12382071928287711</v>
      </c>
      <c r="K9">
        <v>7.1397597590390355E-2</v>
      </c>
      <c r="L9">
        <v>-7.4450793803175208E-2</v>
      </c>
      <c r="M9">
        <v>1.2290545162180651E-2</v>
      </c>
      <c r="N9">
        <v>7.5571502286009146E-2</v>
      </c>
      <c r="O9">
        <v>4.5321397285589142E-2</v>
      </c>
      <c r="P9">
        <v>3.6095088380353517E-2</v>
      </c>
    </row>
    <row r="10" spans="1:16" x14ac:dyDescent="0.35">
      <c r="A10" s="1">
        <v>8</v>
      </c>
      <c r="B10" t="s">
        <v>21</v>
      </c>
      <c r="C10" t="s">
        <v>16</v>
      </c>
      <c r="D10">
        <v>0.68744319777279106</v>
      </c>
      <c r="E10">
        <v>0.274563978255913</v>
      </c>
      <c r="F10">
        <v>-6.2924027696110787E-2</v>
      </c>
      <c r="G10">
        <v>-0.1299605198420794</v>
      </c>
      <c r="H10">
        <v>-0.1071588926355705</v>
      </c>
      <c r="I10">
        <v>4.7029628118512466E-3</v>
      </c>
      <c r="J10">
        <v>6.8478801915207665E-2</v>
      </c>
      <c r="K10">
        <v>0.1016585506342025</v>
      </c>
      <c r="L10">
        <v>5.0904011616046463E-2</v>
      </c>
      <c r="M10">
        <v>-0.1142974811899248</v>
      </c>
      <c r="N10">
        <v>6.5296389185556747E-2</v>
      </c>
      <c r="O10">
        <v>0.3087452989811959</v>
      </c>
      <c r="P10">
        <v>0.36136205344821382</v>
      </c>
    </row>
    <row r="11" spans="1:16" x14ac:dyDescent="0.35">
      <c r="A11" s="1">
        <v>9</v>
      </c>
      <c r="B11" t="s">
        <v>21</v>
      </c>
      <c r="C11" t="s">
        <v>17</v>
      </c>
      <c r="D11">
        <v>2.748663794655179E-2</v>
      </c>
      <c r="E11">
        <v>0.2684071856287425</v>
      </c>
      <c r="F11">
        <v>-0.20412120048480201</v>
      </c>
      <c r="G11">
        <v>0.21629702518810079</v>
      </c>
      <c r="H11">
        <v>-0.48432184128736522</v>
      </c>
      <c r="I11">
        <v>-1.7606470425881701E-4</v>
      </c>
      <c r="J11">
        <v>5.6493153972615888E-2</v>
      </c>
      <c r="K11">
        <v>0.21667968271873089</v>
      </c>
      <c r="L11">
        <v>7.3261157044628183E-2</v>
      </c>
      <c r="M11">
        <v>-4.6584666338665363E-2</v>
      </c>
      <c r="N11">
        <v>-1.217860871443486E-3</v>
      </c>
      <c r="O11">
        <v>0.27223808095232382</v>
      </c>
      <c r="P11">
        <v>0.54646461785847145</v>
      </c>
    </row>
    <row r="12" spans="1:16" x14ac:dyDescent="0.35">
      <c r="A12" s="1">
        <v>10</v>
      </c>
      <c r="B12" t="s">
        <v>21</v>
      </c>
      <c r="C12" t="s">
        <v>18</v>
      </c>
      <c r="D12">
        <v>0.1616940227760911</v>
      </c>
      <c r="E12">
        <v>0.15594062376249501</v>
      </c>
      <c r="F12">
        <v>-0.1248165312661251</v>
      </c>
      <c r="G12">
        <v>-0.1186161544646179</v>
      </c>
      <c r="H12">
        <v>-0.41082394729578919</v>
      </c>
      <c r="I12">
        <v>2.3087036348145389E-2</v>
      </c>
      <c r="J12">
        <v>2.34436777747111E-2</v>
      </c>
      <c r="K12">
        <v>0.1510800283201133</v>
      </c>
      <c r="L12">
        <v>0.1086919227676911</v>
      </c>
      <c r="M12">
        <v>-5.3242676970707878E-2</v>
      </c>
      <c r="N12">
        <v>1.0619370477481909E-2</v>
      </c>
      <c r="O12">
        <v>0.63526074904299612</v>
      </c>
      <c r="P12">
        <v>0.47334486937947751</v>
      </c>
    </row>
    <row r="13" spans="1:16" x14ac:dyDescent="0.35">
      <c r="A13" s="1">
        <v>11</v>
      </c>
      <c r="B13" t="s">
        <v>21</v>
      </c>
      <c r="C13" t="s">
        <v>19</v>
      </c>
      <c r="D13">
        <v>0.35795115980463921</v>
      </c>
      <c r="E13">
        <v>0.17032896931587729</v>
      </c>
      <c r="F13">
        <v>-0.28132864531458118</v>
      </c>
      <c r="G13">
        <v>-0.1755147180588722</v>
      </c>
      <c r="H13">
        <v>-0.32772543890175559</v>
      </c>
      <c r="I13">
        <v>2.467373069492278E-2</v>
      </c>
      <c r="J13">
        <v>0.1126666266665067</v>
      </c>
      <c r="K13">
        <v>0.10071669086676351</v>
      </c>
      <c r="L13">
        <v>0.11552369409477641</v>
      </c>
      <c r="M13">
        <v>-6.0555410221640883E-2</v>
      </c>
      <c r="N13">
        <v>2.537434149736599E-2</v>
      </c>
      <c r="O13">
        <v>0.60263645854583414</v>
      </c>
      <c r="P13">
        <v>0.39600561602246409</v>
      </c>
    </row>
    <row r="14" spans="1:16" x14ac:dyDescent="0.35">
      <c r="A14" s="1">
        <v>12</v>
      </c>
      <c r="B14" t="s">
        <v>22</v>
      </c>
      <c r="C14" t="s">
        <v>16</v>
      </c>
      <c r="D14">
        <v>0.61486687167179177</v>
      </c>
      <c r="E14">
        <v>0.26517062926573159</v>
      </c>
      <c r="F14">
        <v>-0.18080852021300531</v>
      </c>
      <c r="G14">
        <v>-9.6620415510387761E-2</v>
      </c>
      <c r="H14">
        <v>-0.1522013050326258</v>
      </c>
      <c r="I14">
        <v>0.15520888022200549</v>
      </c>
      <c r="J14">
        <v>-7.6582914572864327E-2</v>
      </c>
      <c r="K14">
        <v>9.2607815195379889E-2</v>
      </c>
      <c r="L14">
        <v>-0.1048571214280357</v>
      </c>
      <c r="M14">
        <v>-2.8248706217655441E-2</v>
      </c>
      <c r="N14">
        <v>-1.405085127128178E-2</v>
      </c>
      <c r="O14">
        <v>0.28107252681317041</v>
      </c>
      <c r="P14">
        <v>0.27023475586889673</v>
      </c>
    </row>
    <row r="15" spans="1:16" x14ac:dyDescent="0.35">
      <c r="A15" s="1">
        <v>13</v>
      </c>
      <c r="B15" t="s">
        <v>22</v>
      </c>
      <c r="C15" t="s">
        <v>17</v>
      </c>
      <c r="D15">
        <v>-3.8108452711317783E-2</v>
      </c>
      <c r="E15">
        <v>0.2701342533563339</v>
      </c>
      <c r="F15">
        <v>-0.29645541138528458</v>
      </c>
      <c r="G15">
        <v>0.30008400210005248</v>
      </c>
      <c r="H15">
        <v>-0.49588989724743121</v>
      </c>
      <c r="I15">
        <v>4.190204755118878E-2</v>
      </c>
      <c r="J15">
        <v>-6.1452036300907523E-2</v>
      </c>
      <c r="K15">
        <v>0.19100727518187949</v>
      </c>
      <c r="L15">
        <v>-0.1087467186679667</v>
      </c>
      <c r="M15">
        <v>-9.975999399985E-2</v>
      </c>
      <c r="N15">
        <v>-0.1028455711392785</v>
      </c>
      <c r="O15">
        <v>0.41859896497412441</v>
      </c>
      <c r="P15">
        <v>0.52974274356858919</v>
      </c>
    </row>
    <row r="16" spans="1:16" x14ac:dyDescent="0.35">
      <c r="A16" s="1">
        <v>14</v>
      </c>
      <c r="B16" t="s">
        <v>22</v>
      </c>
      <c r="C16" t="s">
        <v>18</v>
      </c>
      <c r="D16">
        <v>0.15561239030975771</v>
      </c>
      <c r="E16">
        <v>0.1644971124278107</v>
      </c>
      <c r="F16">
        <v>-0.21755643891097279</v>
      </c>
      <c r="G16">
        <v>-2.8400210005250129E-2</v>
      </c>
      <c r="H16">
        <v>-0.29812645316132902</v>
      </c>
      <c r="I16">
        <v>7.3684842121053029E-2</v>
      </c>
      <c r="J16">
        <v>-4.8508212705317633E-2</v>
      </c>
      <c r="K16">
        <v>0.16713567839195981</v>
      </c>
      <c r="L16">
        <v>-0.1123378084452111</v>
      </c>
      <c r="M16">
        <v>-8.545413635340883E-2</v>
      </c>
      <c r="N16">
        <v>-4.346508662716568E-2</v>
      </c>
      <c r="O16">
        <v>0.74986424660616513</v>
      </c>
      <c r="P16">
        <v>0.43185779644491112</v>
      </c>
    </row>
    <row r="17" spans="1:16" x14ac:dyDescent="0.35">
      <c r="A17" s="1">
        <v>15</v>
      </c>
      <c r="B17" t="s">
        <v>22</v>
      </c>
      <c r="C17" t="s">
        <v>19</v>
      </c>
      <c r="D17">
        <v>0.39946898672466807</v>
      </c>
      <c r="E17">
        <v>0.2022500562514063</v>
      </c>
      <c r="F17">
        <v>-0.36589064726618159</v>
      </c>
      <c r="G17">
        <v>-0.1131493287332183</v>
      </c>
      <c r="H17">
        <v>-0.18356408910222749</v>
      </c>
      <c r="I17">
        <v>0.1331478286957174</v>
      </c>
      <c r="J17">
        <v>-5.2766819170479262E-2</v>
      </c>
      <c r="K17">
        <v>0.16632265806645169</v>
      </c>
      <c r="L17">
        <v>-0.1033225830645766</v>
      </c>
      <c r="M17">
        <v>-8.1657541438535958E-2</v>
      </c>
      <c r="N17">
        <v>-4.5359633990849767E-2</v>
      </c>
      <c r="O17">
        <v>0.63845946148653721</v>
      </c>
      <c r="P17">
        <v>0.37698642466061649</v>
      </c>
    </row>
    <row r="18" spans="1:16" x14ac:dyDescent="0.35">
      <c r="A18" s="1">
        <v>16</v>
      </c>
      <c r="B18" t="s">
        <v>23</v>
      </c>
      <c r="C18" t="s">
        <v>16</v>
      </c>
      <c r="D18">
        <v>0.79983132732530926</v>
      </c>
      <c r="E18">
        <v>1.5299293197172791E-2</v>
      </c>
      <c r="F18">
        <v>-4.3372013488053952E-2</v>
      </c>
      <c r="G18">
        <v>-0.15396858387433551</v>
      </c>
      <c r="H18">
        <v>-0.113623654494618</v>
      </c>
      <c r="I18">
        <v>4.0556034224136887E-2</v>
      </c>
      <c r="J18">
        <v>7.0484345937383744E-2</v>
      </c>
      <c r="K18">
        <v>5.6687842751371002E-2</v>
      </c>
      <c r="L18">
        <v>5.0834027336109353E-2</v>
      </c>
      <c r="M18">
        <v>-6.0442321769287079E-2</v>
      </c>
      <c r="N18">
        <v>5.6554786219144879E-2</v>
      </c>
      <c r="O18">
        <v>0.26733841335365338</v>
      </c>
      <c r="P18">
        <v>0.27159382237528951</v>
      </c>
    </row>
    <row r="19" spans="1:16" x14ac:dyDescent="0.35">
      <c r="A19" s="1">
        <v>17</v>
      </c>
      <c r="B19" t="s">
        <v>23</v>
      </c>
      <c r="C19" t="s">
        <v>17</v>
      </c>
      <c r="D19">
        <v>5.271736286945148E-2</v>
      </c>
      <c r="E19">
        <v>4.3621518486073943E-2</v>
      </c>
      <c r="F19">
        <v>-9.1422317689270755E-2</v>
      </c>
      <c r="G19">
        <v>0.50212828051312208</v>
      </c>
      <c r="H19">
        <v>-0.38814961659846642</v>
      </c>
      <c r="I19">
        <v>-2.8007440029760119E-2</v>
      </c>
      <c r="J19">
        <v>1.117818871275485E-2</v>
      </c>
      <c r="K19">
        <v>0.13641644966579869</v>
      </c>
      <c r="L19">
        <v>2.7578510314041259E-2</v>
      </c>
      <c r="M19">
        <v>-3.0559226236904949E-2</v>
      </c>
      <c r="N19">
        <v>-5.007572030288121E-3</v>
      </c>
      <c r="O19">
        <v>0.23196409585638339</v>
      </c>
      <c r="P19">
        <v>0.47544266977067912</v>
      </c>
    </row>
    <row r="20" spans="1:16" x14ac:dyDescent="0.35">
      <c r="A20" s="1">
        <v>18</v>
      </c>
      <c r="B20" t="s">
        <v>23</v>
      </c>
      <c r="C20" t="s">
        <v>18</v>
      </c>
      <c r="D20">
        <v>0.15151515151515149</v>
      </c>
      <c r="E20">
        <v>-0.2</v>
      </c>
      <c r="F20">
        <v>0.1151515151515152</v>
      </c>
      <c r="G20">
        <v>0.34545454545454551</v>
      </c>
      <c r="H20">
        <v>-0.44242424242424239</v>
      </c>
      <c r="I20">
        <v>0.49090909090909091</v>
      </c>
      <c r="J20">
        <v>-0.1878787878787879</v>
      </c>
      <c r="K20">
        <v>0.58787878787878789</v>
      </c>
      <c r="L20">
        <v>-0.22424242424242419</v>
      </c>
      <c r="M20">
        <v>0.103030303030303</v>
      </c>
      <c r="N20">
        <v>-0.52727272727272723</v>
      </c>
      <c r="O20">
        <v>0.76969696969696966</v>
      </c>
      <c r="P20">
        <v>0.61212121212121207</v>
      </c>
    </row>
    <row r="21" spans="1:16" x14ac:dyDescent="0.35">
      <c r="A21" s="1">
        <v>19</v>
      </c>
      <c r="B21" t="s">
        <v>23</v>
      </c>
      <c r="C21" t="s">
        <v>19</v>
      </c>
      <c r="D21">
        <v>2.6258601034404139E-2</v>
      </c>
      <c r="E21">
        <v>-4.7750783003132007E-2</v>
      </c>
      <c r="F21">
        <v>-6.1565238260953052E-2</v>
      </c>
      <c r="G21">
        <v>-2.6008328033312132E-2</v>
      </c>
      <c r="H21">
        <v>-0.77930346921387683</v>
      </c>
      <c r="I21">
        <v>9.7071748286993147E-3</v>
      </c>
      <c r="J21">
        <v>-6.8009552038208153E-3</v>
      </c>
      <c r="K21">
        <v>-4.7612926451705798E-2</v>
      </c>
      <c r="L21">
        <v>3.6600050400201603E-2</v>
      </c>
      <c r="M21">
        <v>1.9193452773811091E-2</v>
      </c>
      <c r="N21">
        <v>-2.0209616838467351E-2</v>
      </c>
      <c r="O21">
        <v>0.53728544514178056</v>
      </c>
      <c r="P21">
        <v>-2.5964455857823431E-2</v>
      </c>
    </row>
    <row r="22" spans="1:16" x14ac:dyDescent="0.35">
      <c r="A22" s="1">
        <v>20</v>
      </c>
      <c r="B22" t="s">
        <v>24</v>
      </c>
      <c r="C22" t="s">
        <v>16</v>
      </c>
      <c r="D22">
        <v>0.79682892072301803</v>
      </c>
      <c r="E22">
        <v>-4.5623640591014779E-2</v>
      </c>
      <c r="F22">
        <v>-9.3345833645841148E-2</v>
      </c>
      <c r="G22">
        <v>-0.1146838670966774</v>
      </c>
      <c r="H22">
        <v>-3.6296407410185257E-2</v>
      </c>
      <c r="I22">
        <v>9.7493437335933394E-2</v>
      </c>
      <c r="J22">
        <v>-8.5214130353258838E-2</v>
      </c>
      <c r="K22">
        <v>8.6856671416785422E-2</v>
      </c>
      <c r="L22">
        <v>-0.1604050101252531</v>
      </c>
      <c r="M22">
        <v>-9.4701867546688662E-2</v>
      </c>
      <c r="N22">
        <v>6.6514662866571664E-2</v>
      </c>
      <c r="O22">
        <v>0.27239330983274579</v>
      </c>
      <c r="P22">
        <v>0.21517287932198309</v>
      </c>
    </row>
    <row r="23" spans="1:16" x14ac:dyDescent="0.35">
      <c r="A23" s="1">
        <v>21</v>
      </c>
      <c r="B23" t="s">
        <v>24</v>
      </c>
      <c r="C23" t="s">
        <v>17</v>
      </c>
      <c r="D23">
        <v>-7.3558838970974275E-2</v>
      </c>
      <c r="E23">
        <v>0.1017340433510838</v>
      </c>
      <c r="F23">
        <v>-8.4501612540313506E-2</v>
      </c>
      <c r="G23">
        <v>0.27644641116027902</v>
      </c>
      <c r="H23">
        <v>-0.68091952298807468</v>
      </c>
      <c r="I23">
        <v>-5.8573464336608413E-2</v>
      </c>
      <c r="J23">
        <v>-5.2243306082652069E-2</v>
      </c>
      <c r="K23">
        <v>1.7268431710792769E-2</v>
      </c>
      <c r="L23">
        <v>-9.7533938348458707E-2</v>
      </c>
      <c r="M23">
        <v>-5.7346433660841523E-2</v>
      </c>
      <c r="N23">
        <v>-9.9285982149553739E-2</v>
      </c>
      <c r="O23">
        <v>0.43747993699842502</v>
      </c>
      <c r="P23">
        <v>3.2628815720393008E-2</v>
      </c>
    </row>
    <row r="24" spans="1:16" x14ac:dyDescent="0.35">
      <c r="A24" s="1">
        <v>22</v>
      </c>
      <c r="B24" t="s">
        <v>24</v>
      </c>
      <c r="C24" t="s">
        <v>18</v>
      </c>
      <c r="D24">
        <v>0.25417085427135683</v>
      </c>
      <c r="E24">
        <v>2.7797194929873249E-2</v>
      </c>
      <c r="F24">
        <v>-0.1116102902572564</v>
      </c>
      <c r="G24">
        <v>4.1521038025950649E-3</v>
      </c>
      <c r="H24">
        <v>-0.52919972999324982</v>
      </c>
      <c r="I24">
        <v>3.0755268881722041E-2</v>
      </c>
      <c r="J24">
        <v>-3.1608790219755503E-2</v>
      </c>
      <c r="K24">
        <v>0.1153708842721068</v>
      </c>
      <c r="L24">
        <v>-9.3197329933248335E-2</v>
      </c>
      <c r="M24">
        <v>-0.142497562439061</v>
      </c>
      <c r="N24">
        <v>-1.1398784969624241E-2</v>
      </c>
      <c r="O24">
        <v>0.42375759393984852</v>
      </c>
      <c r="P24">
        <v>9.9909997749943746E-2</v>
      </c>
    </row>
    <row r="25" spans="1:16" x14ac:dyDescent="0.35">
      <c r="A25" s="1">
        <v>23</v>
      </c>
      <c r="B25" t="s">
        <v>24</v>
      </c>
      <c r="C25" t="s">
        <v>19</v>
      </c>
      <c r="D25">
        <v>0.2263676591914798</v>
      </c>
      <c r="E25">
        <v>5.2862821570539273E-2</v>
      </c>
      <c r="F25">
        <v>-8.8610215255381389E-2</v>
      </c>
      <c r="G25">
        <v>4.2515562889072232E-2</v>
      </c>
      <c r="H25">
        <v>-8.6519162979074471E-2</v>
      </c>
      <c r="I25">
        <v>6.6961674041851049E-2</v>
      </c>
      <c r="J25">
        <v>-0.1153333833345834</v>
      </c>
      <c r="K25">
        <v>6.1324533113327827E-2</v>
      </c>
      <c r="L25">
        <v>-0.1176029400735018</v>
      </c>
      <c r="M25">
        <v>6.6646666166654163E-3</v>
      </c>
      <c r="N25">
        <v>-1.3980349508737719E-3</v>
      </c>
      <c r="O25">
        <v>0.1139773494337358</v>
      </c>
      <c r="P25">
        <v>7.9834995874896869E-2</v>
      </c>
    </row>
    <row r="27" spans="1:16" x14ac:dyDescent="0.35">
      <c r="D27" s="2">
        <f>SUM(D29:D52)</f>
        <v>11</v>
      </c>
      <c r="E27" s="2">
        <f t="shared" ref="E27:P27" si="0">SUM(E29:E52)</f>
        <v>18</v>
      </c>
      <c r="F27" s="2">
        <f t="shared" si="0"/>
        <v>16</v>
      </c>
      <c r="G27" s="2">
        <f t="shared" si="0"/>
        <v>19</v>
      </c>
      <c r="H27" s="2">
        <f t="shared" si="0"/>
        <v>14</v>
      </c>
      <c r="I27" s="2">
        <f t="shared" si="0"/>
        <v>3</v>
      </c>
      <c r="J27" s="2">
        <f t="shared" si="0"/>
        <v>9</v>
      </c>
      <c r="K27" s="2">
        <f t="shared" si="0"/>
        <v>10</v>
      </c>
      <c r="L27" s="2">
        <f t="shared" si="0"/>
        <v>9</v>
      </c>
      <c r="M27" s="2">
        <f t="shared" si="0"/>
        <v>3</v>
      </c>
      <c r="N27" s="2">
        <f t="shared" si="0"/>
        <v>2</v>
      </c>
      <c r="O27" s="2">
        <f t="shared" si="0"/>
        <v>18</v>
      </c>
      <c r="P27" s="2">
        <f t="shared" si="0"/>
        <v>12</v>
      </c>
    </row>
    <row r="29" spans="1:16" x14ac:dyDescent="0.35">
      <c r="D29" s="2">
        <f>IF(ABS(D2)&gt;0.1, 1, 0)</f>
        <v>0</v>
      </c>
      <c r="E29" s="2">
        <f t="shared" ref="E29:P29" si="1">IF(ABS(E2)&gt;0.1, 1, 0)</f>
        <v>1</v>
      </c>
      <c r="F29" s="2">
        <f t="shared" si="1"/>
        <v>1</v>
      </c>
      <c r="G29" s="2">
        <f t="shared" si="1"/>
        <v>1</v>
      </c>
      <c r="H29" s="2">
        <f t="shared" si="1"/>
        <v>0</v>
      </c>
      <c r="I29" s="2">
        <f t="shared" si="1"/>
        <v>0</v>
      </c>
      <c r="J29" s="2">
        <f t="shared" si="1"/>
        <v>1</v>
      </c>
      <c r="K29" s="2">
        <f t="shared" si="1"/>
        <v>0</v>
      </c>
      <c r="L29" s="2">
        <f t="shared" si="1"/>
        <v>0</v>
      </c>
      <c r="M29" s="2">
        <f t="shared" si="1"/>
        <v>0</v>
      </c>
      <c r="N29" s="2">
        <f t="shared" si="1"/>
        <v>0</v>
      </c>
      <c r="O29" s="2">
        <f t="shared" si="1"/>
        <v>0</v>
      </c>
      <c r="P29" s="2">
        <f t="shared" si="1"/>
        <v>0</v>
      </c>
    </row>
    <row r="30" spans="1:16" x14ac:dyDescent="0.35">
      <c r="D30" s="2">
        <f t="shared" ref="D30:P45" si="2">IF(ABS(D3)&gt;0.1, 1, 0)</f>
        <v>0</v>
      </c>
      <c r="E30" s="2">
        <f t="shared" si="2"/>
        <v>1</v>
      </c>
      <c r="F30" s="2">
        <f t="shared" si="2"/>
        <v>1</v>
      </c>
      <c r="G30" s="2">
        <f t="shared" si="2"/>
        <v>1</v>
      </c>
      <c r="H30" s="2">
        <f t="shared" si="2"/>
        <v>0</v>
      </c>
      <c r="I30" s="2">
        <f>IF(ABS(I3)&gt;0.1, 1, 0)</f>
        <v>0</v>
      </c>
      <c r="J30" s="2">
        <f t="shared" si="2"/>
        <v>1</v>
      </c>
      <c r="K30" s="2">
        <f t="shared" si="2"/>
        <v>0</v>
      </c>
      <c r="L30" s="2">
        <f t="shared" si="2"/>
        <v>0</v>
      </c>
      <c r="M30" s="2">
        <f t="shared" si="2"/>
        <v>0</v>
      </c>
      <c r="N30" s="2">
        <f t="shared" si="2"/>
        <v>0</v>
      </c>
      <c r="O30" s="2">
        <f t="shared" si="2"/>
        <v>1</v>
      </c>
      <c r="P30" s="2">
        <f t="shared" si="2"/>
        <v>0</v>
      </c>
    </row>
    <row r="31" spans="1:16" x14ac:dyDescent="0.35">
      <c r="D31" s="2">
        <f t="shared" si="2"/>
        <v>0</v>
      </c>
      <c r="E31" s="2">
        <f t="shared" si="2"/>
        <v>1</v>
      </c>
      <c r="F31" s="2">
        <f t="shared" si="2"/>
        <v>1</v>
      </c>
      <c r="G31" s="2">
        <f t="shared" si="2"/>
        <v>1</v>
      </c>
      <c r="H31" s="2">
        <f t="shared" si="2"/>
        <v>0</v>
      </c>
      <c r="I31" s="2">
        <f t="shared" si="2"/>
        <v>0</v>
      </c>
      <c r="J31" s="2">
        <f t="shared" si="2"/>
        <v>1</v>
      </c>
      <c r="K31" s="2">
        <f t="shared" si="2"/>
        <v>0</v>
      </c>
      <c r="L31" s="2">
        <f t="shared" si="2"/>
        <v>0</v>
      </c>
      <c r="M31" s="2">
        <f t="shared" si="2"/>
        <v>0</v>
      </c>
      <c r="N31" s="2">
        <f t="shared" si="2"/>
        <v>0</v>
      </c>
      <c r="O31" s="2">
        <f t="shared" si="2"/>
        <v>1</v>
      </c>
      <c r="P31" s="2">
        <f t="shared" si="2"/>
        <v>0</v>
      </c>
    </row>
    <row r="32" spans="1:16" x14ac:dyDescent="0.35">
      <c r="D32" s="2">
        <f t="shared" si="2"/>
        <v>0</v>
      </c>
      <c r="E32" s="2">
        <f t="shared" si="2"/>
        <v>1</v>
      </c>
      <c r="F32" s="2">
        <f t="shared" si="2"/>
        <v>1</v>
      </c>
      <c r="G32" s="2">
        <f t="shared" si="2"/>
        <v>1</v>
      </c>
      <c r="H32" s="2">
        <f t="shared" si="2"/>
        <v>0</v>
      </c>
      <c r="I32" s="2">
        <f t="shared" si="2"/>
        <v>0</v>
      </c>
      <c r="J32" s="2">
        <f t="shared" si="2"/>
        <v>1</v>
      </c>
      <c r="K32" s="2">
        <f t="shared" si="2"/>
        <v>0</v>
      </c>
      <c r="L32" s="2">
        <f t="shared" si="2"/>
        <v>0</v>
      </c>
      <c r="M32" s="2">
        <f t="shared" si="2"/>
        <v>0</v>
      </c>
      <c r="N32" s="2">
        <f t="shared" si="2"/>
        <v>0</v>
      </c>
      <c r="O32" s="2">
        <f t="shared" si="2"/>
        <v>0</v>
      </c>
      <c r="P32" s="2">
        <f t="shared" si="2"/>
        <v>0</v>
      </c>
    </row>
    <row r="33" spans="4:16" x14ac:dyDescent="0.35">
      <c r="D33" s="2">
        <f t="shared" si="2"/>
        <v>0</v>
      </c>
      <c r="E33" s="2">
        <f t="shared" si="2"/>
        <v>1</v>
      </c>
      <c r="F33" s="2">
        <f t="shared" si="2"/>
        <v>0</v>
      </c>
      <c r="G33" s="2">
        <f t="shared" si="2"/>
        <v>1</v>
      </c>
      <c r="H33" s="2">
        <f t="shared" si="2"/>
        <v>0</v>
      </c>
      <c r="I33" s="2">
        <f t="shared" si="2"/>
        <v>0</v>
      </c>
      <c r="J33" s="2">
        <f t="shared" si="2"/>
        <v>0</v>
      </c>
      <c r="K33" s="2">
        <f t="shared" si="2"/>
        <v>0</v>
      </c>
      <c r="L33" s="2">
        <f t="shared" si="2"/>
        <v>0</v>
      </c>
      <c r="M33" s="2">
        <f t="shared" si="2"/>
        <v>0</v>
      </c>
      <c r="N33" s="2">
        <f t="shared" si="2"/>
        <v>0</v>
      </c>
      <c r="O33" s="2">
        <f t="shared" si="2"/>
        <v>0</v>
      </c>
      <c r="P33" s="2">
        <f t="shared" si="2"/>
        <v>0</v>
      </c>
    </row>
    <row r="34" spans="4:16" x14ac:dyDescent="0.35">
      <c r="D34" s="2">
        <f>IF(ABS(D7)&gt;0.1, 1, 0)</f>
        <v>0</v>
      </c>
      <c r="E34" s="2">
        <f t="shared" si="2"/>
        <v>1</v>
      </c>
      <c r="F34" s="2">
        <f t="shared" si="2"/>
        <v>1</v>
      </c>
      <c r="G34" s="2">
        <f t="shared" si="2"/>
        <v>1</v>
      </c>
      <c r="H34" s="2">
        <f t="shared" si="2"/>
        <v>0</v>
      </c>
      <c r="I34" s="2">
        <f t="shared" si="2"/>
        <v>0</v>
      </c>
      <c r="J34" s="2">
        <f t="shared" si="2"/>
        <v>1</v>
      </c>
      <c r="K34" s="2">
        <f t="shared" si="2"/>
        <v>0</v>
      </c>
      <c r="L34" s="2">
        <f t="shared" si="2"/>
        <v>0</v>
      </c>
      <c r="M34" s="2">
        <f t="shared" si="2"/>
        <v>0</v>
      </c>
      <c r="N34" s="2">
        <f t="shared" si="2"/>
        <v>0</v>
      </c>
      <c r="O34" s="2">
        <f t="shared" si="2"/>
        <v>0</v>
      </c>
      <c r="P34" s="2">
        <f t="shared" si="2"/>
        <v>0</v>
      </c>
    </row>
    <row r="35" spans="4:16" x14ac:dyDescent="0.35">
      <c r="D35" s="2">
        <f t="shared" si="2"/>
        <v>0</v>
      </c>
      <c r="E35" s="2">
        <f t="shared" si="2"/>
        <v>1</v>
      </c>
      <c r="F35" s="2">
        <f t="shared" si="2"/>
        <v>1</v>
      </c>
      <c r="G35" s="2">
        <f t="shared" si="2"/>
        <v>1</v>
      </c>
      <c r="H35" s="2">
        <f t="shared" si="2"/>
        <v>0</v>
      </c>
      <c r="I35" s="2">
        <f t="shared" si="2"/>
        <v>0</v>
      </c>
      <c r="J35" s="2">
        <f t="shared" si="2"/>
        <v>0</v>
      </c>
      <c r="K35" s="2">
        <f t="shared" si="2"/>
        <v>0</v>
      </c>
      <c r="L35" s="2">
        <f t="shared" si="2"/>
        <v>0</v>
      </c>
      <c r="M35" s="2">
        <f t="shared" si="2"/>
        <v>0</v>
      </c>
      <c r="N35" s="2">
        <f t="shared" si="2"/>
        <v>0</v>
      </c>
      <c r="O35" s="2">
        <f t="shared" si="2"/>
        <v>0</v>
      </c>
      <c r="P35" s="2">
        <f t="shared" si="2"/>
        <v>0</v>
      </c>
    </row>
    <row r="36" spans="4:16" x14ac:dyDescent="0.35">
      <c r="D36" s="2">
        <f t="shared" si="2"/>
        <v>0</v>
      </c>
      <c r="E36" s="2">
        <f t="shared" si="2"/>
        <v>1</v>
      </c>
      <c r="F36" s="2">
        <f t="shared" si="2"/>
        <v>1</v>
      </c>
      <c r="G36" s="2">
        <f t="shared" si="2"/>
        <v>1</v>
      </c>
      <c r="H36" s="2">
        <f t="shared" si="2"/>
        <v>0</v>
      </c>
      <c r="I36" s="2">
        <f t="shared" si="2"/>
        <v>0</v>
      </c>
      <c r="J36" s="2">
        <f t="shared" si="2"/>
        <v>1</v>
      </c>
      <c r="K36" s="2">
        <f t="shared" si="2"/>
        <v>0</v>
      </c>
      <c r="L36" s="2">
        <f t="shared" si="2"/>
        <v>0</v>
      </c>
      <c r="M36" s="2">
        <f t="shared" si="2"/>
        <v>0</v>
      </c>
      <c r="N36" s="2">
        <f t="shared" si="2"/>
        <v>0</v>
      </c>
      <c r="O36" s="2">
        <f t="shared" si="2"/>
        <v>0</v>
      </c>
      <c r="P36" s="2">
        <f t="shared" si="2"/>
        <v>0</v>
      </c>
    </row>
    <row r="37" spans="4:16" x14ac:dyDescent="0.35">
      <c r="D37" s="2">
        <f t="shared" si="2"/>
        <v>1</v>
      </c>
      <c r="E37" s="2">
        <f t="shared" si="2"/>
        <v>1</v>
      </c>
      <c r="F37" s="2">
        <f t="shared" si="2"/>
        <v>0</v>
      </c>
      <c r="G37" s="2">
        <f t="shared" si="2"/>
        <v>1</v>
      </c>
      <c r="H37" s="2">
        <f t="shared" si="2"/>
        <v>1</v>
      </c>
      <c r="I37" s="2">
        <f t="shared" si="2"/>
        <v>0</v>
      </c>
      <c r="J37" s="2">
        <f t="shared" si="2"/>
        <v>0</v>
      </c>
      <c r="K37" s="2">
        <f t="shared" si="2"/>
        <v>1</v>
      </c>
      <c r="L37" s="2">
        <f t="shared" si="2"/>
        <v>0</v>
      </c>
      <c r="M37" s="2">
        <f t="shared" si="2"/>
        <v>1</v>
      </c>
      <c r="N37" s="2">
        <f t="shared" si="2"/>
        <v>0</v>
      </c>
      <c r="O37" s="2">
        <f t="shared" si="2"/>
        <v>1</v>
      </c>
      <c r="P37" s="2">
        <f t="shared" si="2"/>
        <v>1</v>
      </c>
    </row>
    <row r="38" spans="4:16" x14ac:dyDescent="0.35">
      <c r="D38" s="2">
        <f t="shared" si="2"/>
        <v>0</v>
      </c>
      <c r="E38" s="2">
        <f t="shared" si="2"/>
        <v>1</v>
      </c>
      <c r="F38" s="2">
        <f t="shared" si="2"/>
        <v>1</v>
      </c>
      <c r="G38" s="2">
        <f t="shared" si="2"/>
        <v>1</v>
      </c>
      <c r="H38" s="2">
        <f t="shared" si="2"/>
        <v>1</v>
      </c>
      <c r="I38" s="2">
        <f t="shared" si="2"/>
        <v>0</v>
      </c>
      <c r="J38" s="2">
        <f t="shared" si="2"/>
        <v>0</v>
      </c>
      <c r="K38" s="2">
        <f t="shared" si="2"/>
        <v>1</v>
      </c>
      <c r="L38" s="2">
        <f t="shared" si="2"/>
        <v>0</v>
      </c>
      <c r="M38" s="2">
        <f t="shared" si="2"/>
        <v>0</v>
      </c>
      <c r="N38" s="2">
        <f t="shared" si="2"/>
        <v>0</v>
      </c>
      <c r="O38" s="2">
        <f t="shared" si="2"/>
        <v>1</v>
      </c>
      <c r="P38" s="2">
        <f t="shared" si="2"/>
        <v>1</v>
      </c>
    </row>
    <row r="39" spans="4:16" x14ac:dyDescent="0.35">
      <c r="D39" s="2">
        <f t="shared" si="2"/>
        <v>1</v>
      </c>
      <c r="E39" s="2">
        <f t="shared" si="2"/>
        <v>1</v>
      </c>
      <c r="F39" s="2">
        <f t="shared" si="2"/>
        <v>1</v>
      </c>
      <c r="G39" s="2">
        <f t="shared" si="2"/>
        <v>1</v>
      </c>
      <c r="H39" s="2">
        <f t="shared" si="2"/>
        <v>1</v>
      </c>
      <c r="I39" s="2">
        <f t="shared" si="2"/>
        <v>0</v>
      </c>
      <c r="J39" s="2">
        <f t="shared" si="2"/>
        <v>0</v>
      </c>
      <c r="K39" s="2">
        <f t="shared" si="2"/>
        <v>1</v>
      </c>
      <c r="L39" s="2">
        <f t="shared" si="2"/>
        <v>1</v>
      </c>
      <c r="M39" s="2">
        <f t="shared" si="2"/>
        <v>0</v>
      </c>
      <c r="N39" s="2">
        <f t="shared" si="2"/>
        <v>0</v>
      </c>
      <c r="O39" s="2">
        <f t="shared" si="2"/>
        <v>1</v>
      </c>
      <c r="P39" s="2">
        <f t="shared" si="2"/>
        <v>1</v>
      </c>
    </row>
    <row r="40" spans="4:16" x14ac:dyDescent="0.35">
      <c r="D40" s="2">
        <f t="shared" si="2"/>
        <v>1</v>
      </c>
      <c r="E40" s="2">
        <f t="shared" si="2"/>
        <v>1</v>
      </c>
      <c r="F40" s="2">
        <f t="shared" si="2"/>
        <v>1</v>
      </c>
      <c r="G40" s="2">
        <f t="shared" si="2"/>
        <v>1</v>
      </c>
      <c r="H40" s="2">
        <f t="shared" si="2"/>
        <v>1</v>
      </c>
      <c r="I40" s="2">
        <f t="shared" si="2"/>
        <v>0</v>
      </c>
      <c r="J40" s="2">
        <f t="shared" si="2"/>
        <v>1</v>
      </c>
      <c r="K40" s="2">
        <f t="shared" si="2"/>
        <v>1</v>
      </c>
      <c r="L40" s="2">
        <f t="shared" si="2"/>
        <v>1</v>
      </c>
      <c r="M40" s="2">
        <f t="shared" si="2"/>
        <v>0</v>
      </c>
      <c r="N40" s="2">
        <f t="shared" si="2"/>
        <v>0</v>
      </c>
      <c r="O40" s="2">
        <f t="shared" si="2"/>
        <v>1</v>
      </c>
      <c r="P40" s="2">
        <f t="shared" si="2"/>
        <v>1</v>
      </c>
    </row>
    <row r="41" spans="4:16" x14ac:dyDescent="0.35">
      <c r="D41" s="2">
        <f t="shared" si="2"/>
        <v>1</v>
      </c>
      <c r="E41" s="2">
        <f t="shared" si="2"/>
        <v>1</v>
      </c>
      <c r="F41" s="2">
        <f t="shared" si="2"/>
        <v>1</v>
      </c>
      <c r="G41" s="2">
        <f t="shared" si="2"/>
        <v>0</v>
      </c>
      <c r="H41" s="2">
        <f t="shared" si="2"/>
        <v>1</v>
      </c>
      <c r="I41" s="2">
        <f t="shared" si="2"/>
        <v>1</v>
      </c>
      <c r="J41" s="2">
        <f t="shared" si="2"/>
        <v>0</v>
      </c>
      <c r="K41" s="2">
        <f t="shared" si="2"/>
        <v>0</v>
      </c>
      <c r="L41" s="2">
        <f t="shared" si="2"/>
        <v>1</v>
      </c>
      <c r="M41" s="2">
        <f t="shared" si="2"/>
        <v>0</v>
      </c>
      <c r="N41" s="2">
        <f t="shared" si="2"/>
        <v>0</v>
      </c>
      <c r="O41" s="2">
        <f t="shared" si="2"/>
        <v>1</v>
      </c>
      <c r="P41" s="2">
        <f t="shared" si="2"/>
        <v>1</v>
      </c>
    </row>
    <row r="42" spans="4:16" x14ac:dyDescent="0.35">
      <c r="D42" s="2">
        <f>IF(ABS(D15)&gt;0.1, 1, 0)</f>
        <v>0</v>
      </c>
      <c r="E42" s="2">
        <f t="shared" si="2"/>
        <v>1</v>
      </c>
      <c r="F42" s="2">
        <f t="shared" si="2"/>
        <v>1</v>
      </c>
      <c r="G42" s="2">
        <f t="shared" si="2"/>
        <v>1</v>
      </c>
      <c r="H42" s="2">
        <f t="shared" si="2"/>
        <v>1</v>
      </c>
      <c r="I42" s="2">
        <f t="shared" si="2"/>
        <v>0</v>
      </c>
      <c r="J42" s="2">
        <f t="shared" si="2"/>
        <v>0</v>
      </c>
      <c r="K42" s="2">
        <f t="shared" si="2"/>
        <v>1</v>
      </c>
      <c r="L42" s="2">
        <f t="shared" si="2"/>
        <v>1</v>
      </c>
      <c r="M42" s="2">
        <f t="shared" si="2"/>
        <v>0</v>
      </c>
      <c r="N42" s="2">
        <f t="shared" si="2"/>
        <v>1</v>
      </c>
      <c r="O42" s="2">
        <f t="shared" si="2"/>
        <v>1</v>
      </c>
      <c r="P42" s="2">
        <f t="shared" si="2"/>
        <v>1</v>
      </c>
    </row>
    <row r="43" spans="4:16" x14ac:dyDescent="0.35">
      <c r="D43" s="2">
        <f t="shared" si="2"/>
        <v>1</v>
      </c>
      <c r="E43" s="2">
        <f t="shared" si="2"/>
        <v>1</v>
      </c>
      <c r="F43" s="2">
        <f t="shared" si="2"/>
        <v>1</v>
      </c>
      <c r="G43" s="2">
        <f t="shared" si="2"/>
        <v>0</v>
      </c>
      <c r="H43" s="2">
        <f t="shared" si="2"/>
        <v>1</v>
      </c>
      <c r="I43" s="2">
        <f t="shared" si="2"/>
        <v>0</v>
      </c>
      <c r="J43" s="2">
        <f t="shared" si="2"/>
        <v>0</v>
      </c>
      <c r="K43" s="2">
        <f t="shared" si="2"/>
        <v>1</v>
      </c>
      <c r="L43" s="2">
        <f t="shared" si="2"/>
        <v>1</v>
      </c>
      <c r="M43" s="2">
        <f t="shared" si="2"/>
        <v>0</v>
      </c>
      <c r="N43" s="2">
        <f t="shared" si="2"/>
        <v>0</v>
      </c>
      <c r="O43" s="2">
        <f t="shared" si="2"/>
        <v>1</v>
      </c>
      <c r="P43" s="2">
        <f t="shared" si="2"/>
        <v>1</v>
      </c>
    </row>
    <row r="44" spans="4:16" x14ac:dyDescent="0.35">
      <c r="D44" s="2">
        <f t="shared" si="2"/>
        <v>1</v>
      </c>
      <c r="E44" s="2">
        <f t="shared" si="2"/>
        <v>1</v>
      </c>
      <c r="F44" s="2">
        <f t="shared" si="2"/>
        <v>1</v>
      </c>
      <c r="G44" s="2">
        <f t="shared" si="2"/>
        <v>1</v>
      </c>
      <c r="H44" s="2">
        <f t="shared" si="2"/>
        <v>1</v>
      </c>
      <c r="I44" s="2">
        <f t="shared" si="2"/>
        <v>1</v>
      </c>
      <c r="J44" s="2">
        <f t="shared" si="2"/>
        <v>0</v>
      </c>
      <c r="K44" s="2">
        <f t="shared" si="2"/>
        <v>1</v>
      </c>
      <c r="L44" s="2">
        <f t="shared" si="2"/>
        <v>1</v>
      </c>
      <c r="M44" s="2">
        <f t="shared" si="2"/>
        <v>0</v>
      </c>
      <c r="N44" s="2">
        <f t="shared" si="2"/>
        <v>0</v>
      </c>
      <c r="O44" s="2">
        <f t="shared" si="2"/>
        <v>1</v>
      </c>
      <c r="P44" s="2">
        <f t="shared" si="2"/>
        <v>1</v>
      </c>
    </row>
    <row r="45" spans="4:16" x14ac:dyDescent="0.35">
      <c r="D45" s="2">
        <f t="shared" si="2"/>
        <v>1</v>
      </c>
      <c r="E45" s="2">
        <f t="shared" si="2"/>
        <v>0</v>
      </c>
      <c r="F45" s="2">
        <f t="shared" si="2"/>
        <v>0</v>
      </c>
      <c r="G45" s="2">
        <f t="shared" si="2"/>
        <v>1</v>
      </c>
      <c r="H45" s="2">
        <f t="shared" si="2"/>
        <v>1</v>
      </c>
      <c r="I45" s="2">
        <f t="shared" si="2"/>
        <v>0</v>
      </c>
      <c r="J45" s="2">
        <f t="shared" si="2"/>
        <v>0</v>
      </c>
      <c r="K45" s="2">
        <f t="shared" si="2"/>
        <v>0</v>
      </c>
      <c r="L45" s="2">
        <f t="shared" si="2"/>
        <v>0</v>
      </c>
      <c r="M45" s="2">
        <f t="shared" si="2"/>
        <v>0</v>
      </c>
      <c r="N45" s="2">
        <f t="shared" si="2"/>
        <v>0</v>
      </c>
      <c r="O45" s="2">
        <f t="shared" si="2"/>
        <v>1</v>
      </c>
      <c r="P45" s="2">
        <f t="shared" si="2"/>
        <v>1</v>
      </c>
    </row>
    <row r="46" spans="4:16" x14ac:dyDescent="0.35">
      <c r="D46" s="2">
        <f t="shared" ref="D46:P52" si="3">IF(ABS(D19)&gt;0.1, 1, 0)</f>
        <v>0</v>
      </c>
      <c r="E46" s="2">
        <f t="shared" si="3"/>
        <v>0</v>
      </c>
      <c r="F46" s="2">
        <f t="shared" si="3"/>
        <v>0</v>
      </c>
      <c r="G46" s="2">
        <f t="shared" si="3"/>
        <v>1</v>
      </c>
      <c r="H46" s="2">
        <f t="shared" si="3"/>
        <v>1</v>
      </c>
      <c r="I46" s="2">
        <f t="shared" si="3"/>
        <v>0</v>
      </c>
      <c r="J46" s="2">
        <f t="shared" si="3"/>
        <v>0</v>
      </c>
      <c r="K46" s="2">
        <f t="shared" si="3"/>
        <v>1</v>
      </c>
      <c r="L46" s="2">
        <f t="shared" si="3"/>
        <v>0</v>
      </c>
      <c r="M46" s="2">
        <f t="shared" si="3"/>
        <v>0</v>
      </c>
      <c r="N46" s="2">
        <f t="shared" si="3"/>
        <v>0</v>
      </c>
      <c r="O46" s="2">
        <f t="shared" si="3"/>
        <v>1</v>
      </c>
      <c r="P46" s="2">
        <f t="shared" si="3"/>
        <v>1</v>
      </c>
    </row>
    <row r="47" spans="4:16" x14ac:dyDescent="0.35">
      <c r="D47" s="2">
        <f t="shared" si="3"/>
        <v>1</v>
      </c>
      <c r="E47" s="2">
        <f t="shared" si="3"/>
        <v>1</v>
      </c>
      <c r="F47" s="2">
        <f t="shared" si="3"/>
        <v>1</v>
      </c>
      <c r="G47" s="2">
        <f t="shared" si="3"/>
        <v>1</v>
      </c>
      <c r="H47" s="2">
        <f t="shared" si="3"/>
        <v>1</v>
      </c>
      <c r="I47" s="2">
        <f t="shared" si="3"/>
        <v>1</v>
      </c>
      <c r="J47" s="2">
        <f t="shared" si="3"/>
        <v>1</v>
      </c>
      <c r="K47" s="2">
        <f t="shared" si="3"/>
        <v>1</v>
      </c>
      <c r="L47" s="2">
        <f t="shared" si="3"/>
        <v>1</v>
      </c>
      <c r="M47" s="2">
        <f t="shared" si="3"/>
        <v>1</v>
      </c>
      <c r="N47" s="2">
        <f t="shared" si="3"/>
        <v>1</v>
      </c>
      <c r="O47" s="2">
        <f t="shared" si="3"/>
        <v>1</v>
      </c>
      <c r="P47" s="2">
        <f t="shared" si="3"/>
        <v>1</v>
      </c>
    </row>
    <row r="48" spans="4:16" x14ac:dyDescent="0.35">
      <c r="D48" s="2">
        <f>IF(ABS(D21)&gt;0.1, 1, 0)</f>
        <v>0</v>
      </c>
      <c r="E48" s="2">
        <f t="shared" si="3"/>
        <v>0</v>
      </c>
      <c r="F48" s="2">
        <f t="shared" si="3"/>
        <v>0</v>
      </c>
      <c r="G48" s="2">
        <f t="shared" si="3"/>
        <v>0</v>
      </c>
      <c r="H48" s="2">
        <f t="shared" si="3"/>
        <v>1</v>
      </c>
      <c r="I48" s="2">
        <f>IF(ABS(I21)&gt;0.1, 1, 0)</f>
        <v>0</v>
      </c>
      <c r="J48" s="2">
        <f t="shared" si="3"/>
        <v>0</v>
      </c>
      <c r="K48" s="2">
        <f t="shared" si="3"/>
        <v>0</v>
      </c>
      <c r="L48" s="2">
        <f t="shared" si="3"/>
        <v>0</v>
      </c>
      <c r="M48" s="2">
        <f t="shared" si="3"/>
        <v>0</v>
      </c>
      <c r="N48" s="2">
        <f t="shared" si="3"/>
        <v>0</v>
      </c>
      <c r="O48" s="2">
        <f t="shared" si="3"/>
        <v>1</v>
      </c>
      <c r="P48" s="2">
        <f t="shared" si="3"/>
        <v>0</v>
      </c>
    </row>
    <row r="49" spans="4:16" x14ac:dyDescent="0.35">
      <c r="D49" s="2">
        <f>IF(ABS(D22)&gt;0.1, 1, 0)</f>
        <v>1</v>
      </c>
      <c r="E49" s="2">
        <f t="shared" si="3"/>
        <v>0</v>
      </c>
      <c r="F49" s="2">
        <f t="shared" si="3"/>
        <v>0</v>
      </c>
      <c r="G49" s="2">
        <f t="shared" si="3"/>
        <v>1</v>
      </c>
      <c r="H49" s="2">
        <f t="shared" si="3"/>
        <v>0</v>
      </c>
      <c r="I49" s="2">
        <f t="shared" si="3"/>
        <v>0</v>
      </c>
      <c r="J49" s="2">
        <f t="shared" si="3"/>
        <v>0</v>
      </c>
      <c r="K49" s="2">
        <f t="shared" si="3"/>
        <v>0</v>
      </c>
      <c r="L49" s="2">
        <f t="shared" si="3"/>
        <v>1</v>
      </c>
      <c r="M49" s="2">
        <f t="shared" si="3"/>
        <v>0</v>
      </c>
      <c r="N49" s="2">
        <f t="shared" si="3"/>
        <v>0</v>
      </c>
      <c r="O49" s="2">
        <f t="shared" si="3"/>
        <v>1</v>
      </c>
      <c r="P49" s="2">
        <f t="shared" si="3"/>
        <v>1</v>
      </c>
    </row>
    <row r="50" spans="4:16" x14ac:dyDescent="0.35">
      <c r="D50" s="2">
        <f t="shared" si="3"/>
        <v>0</v>
      </c>
      <c r="E50" s="2">
        <f t="shared" si="3"/>
        <v>1</v>
      </c>
      <c r="F50" s="2">
        <f t="shared" si="3"/>
        <v>0</v>
      </c>
      <c r="G50" s="2">
        <f t="shared" si="3"/>
        <v>1</v>
      </c>
      <c r="H50" s="2">
        <f t="shared" si="3"/>
        <v>1</v>
      </c>
      <c r="I50" s="2">
        <f t="shared" si="3"/>
        <v>0</v>
      </c>
      <c r="J50" s="2">
        <f t="shared" si="3"/>
        <v>0</v>
      </c>
      <c r="K50" s="2">
        <f t="shared" si="3"/>
        <v>0</v>
      </c>
      <c r="L50" s="2">
        <f t="shared" si="3"/>
        <v>0</v>
      </c>
      <c r="M50" s="2">
        <f t="shared" si="3"/>
        <v>0</v>
      </c>
      <c r="N50" s="2">
        <f t="shared" si="3"/>
        <v>0</v>
      </c>
      <c r="O50" s="2">
        <f t="shared" si="3"/>
        <v>1</v>
      </c>
      <c r="P50" s="2">
        <f t="shared" si="3"/>
        <v>0</v>
      </c>
    </row>
    <row r="51" spans="4:16" x14ac:dyDescent="0.35">
      <c r="D51" s="2">
        <f t="shared" si="3"/>
        <v>1</v>
      </c>
      <c r="E51" s="2">
        <f t="shared" si="3"/>
        <v>0</v>
      </c>
      <c r="F51" s="2">
        <f t="shared" si="3"/>
        <v>1</v>
      </c>
      <c r="G51" s="2">
        <f t="shared" si="3"/>
        <v>0</v>
      </c>
      <c r="H51" s="2">
        <f t="shared" si="3"/>
        <v>1</v>
      </c>
      <c r="I51" s="2">
        <f t="shared" si="3"/>
        <v>0</v>
      </c>
      <c r="J51" s="2">
        <f t="shared" si="3"/>
        <v>0</v>
      </c>
      <c r="K51" s="2">
        <f t="shared" si="3"/>
        <v>1</v>
      </c>
      <c r="L51" s="2">
        <f t="shared" si="3"/>
        <v>0</v>
      </c>
      <c r="M51" s="2">
        <f t="shared" si="3"/>
        <v>1</v>
      </c>
      <c r="N51" s="2">
        <f t="shared" si="3"/>
        <v>0</v>
      </c>
      <c r="O51" s="2">
        <f t="shared" si="3"/>
        <v>1</v>
      </c>
      <c r="P51" s="2">
        <f t="shared" si="3"/>
        <v>0</v>
      </c>
    </row>
    <row r="52" spans="4:16" x14ac:dyDescent="0.35">
      <c r="D52" s="2">
        <f t="shared" si="3"/>
        <v>1</v>
      </c>
      <c r="E52" s="2">
        <f t="shared" si="3"/>
        <v>0</v>
      </c>
      <c r="F52" s="2">
        <f t="shared" si="3"/>
        <v>0</v>
      </c>
      <c r="G52" s="2">
        <f t="shared" si="3"/>
        <v>0</v>
      </c>
      <c r="H52" s="2">
        <f t="shared" si="3"/>
        <v>0</v>
      </c>
      <c r="I52" s="2">
        <f t="shared" si="3"/>
        <v>0</v>
      </c>
      <c r="J52" s="2">
        <f t="shared" si="3"/>
        <v>1</v>
      </c>
      <c r="K52" s="2">
        <f t="shared" si="3"/>
        <v>0</v>
      </c>
      <c r="L52" s="2">
        <f t="shared" si="3"/>
        <v>1</v>
      </c>
      <c r="M52" s="2">
        <f t="shared" si="3"/>
        <v>0</v>
      </c>
      <c r="N52" s="2">
        <f t="shared" si="3"/>
        <v>0</v>
      </c>
      <c r="O52" s="2">
        <f t="shared" si="3"/>
        <v>1</v>
      </c>
      <c r="P52" s="2">
        <f t="shared" si="3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2024-12-19T07:36:38Z</dcterms:created>
  <dcterms:modified xsi:type="dcterms:W3CDTF">2024-12-19T10:29:42Z</dcterms:modified>
</cp:coreProperties>
</file>