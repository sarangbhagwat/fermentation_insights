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BCED9A7A-FA5B-4FD5-89A7-D0671A10778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" l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D27" i="1" s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P40" i="1"/>
  <c r="O40" i="1"/>
  <c r="N40" i="1"/>
  <c r="M40" i="1"/>
  <c r="L40" i="1"/>
  <c r="K40" i="1"/>
  <c r="K27" i="1" s="1"/>
  <c r="J40" i="1"/>
  <c r="I40" i="1"/>
  <c r="H40" i="1"/>
  <c r="G40" i="1"/>
  <c r="F40" i="1"/>
  <c r="E40" i="1"/>
  <c r="D40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P30" i="1"/>
  <c r="O30" i="1"/>
  <c r="N30" i="1"/>
  <c r="M30" i="1"/>
  <c r="L30" i="1"/>
  <c r="K30" i="1"/>
  <c r="J30" i="1"/>
  <c r="J27" i="1" s="1"/>
  <c r="I30" i="1"/>
  <c r="I27" i="1" s="1"/>
  <c r="H30" i="1"/>
  <c r="H27" i="1" s="1"/>
  <c r="G30" i="1"/>
  <c r="G27" i="1" s="1"/>
  <c r="F30" i="1"/>
  <c r="E30" i="1"/>
  <c r="D30" i="1"/>
  <c r="P29" i="1"/>
  <c r="P27" i="1" s="1"/>
  <c r="O29" i="1"/>
  <c r="N29" i="1"/>
  <c r="N27" i="1" s="1"/>
  <c r="M29" i="1"/>
  <c r="M27" i="1" s="1"/>
  <c r="L29" i="1"/>
  <c r="L27" i="1" s="1"/>
  <c r="K29" i="1"/>
  <c r="J29" i="1"/>
  <c r="I29" i="1"/>
  <c r="H29" i="1"/>
  <c r="G29" i="1"/>
  <c r="F29" i="1"/>
  <c r="F27" i="1" s="1"/>
  <c r="E29" i="1"/>
  <c r="E27" i="1" s="1"/>
  <c r="D29" i="1"/>
</calcChain>
</file>

<file path=xl/sharedStrings.xml><?xml version="1.0" encoding="utf-8"?>
<sst xmlns="http://schemas.openxmlformats.org/spreadsheetml/2006/main" count="63" uniqueCount="25">
  <si>
    <t>product</t>
  </si>
  <si>
    <t>feedstock</t>
  </si>
  <si>
    <t>fermentation cell mass yield</t>
  </si>
  <si>
    <t>feedstock unit price</t>
  </si>
  <si>
    <t>feedstock capacity</t>
  </si>
  <si>
    <t>operating time</t>
  </si>
  <si>
    <t>natural gas unit price</t>
  </si>
  <si>
    <t>CSL unit price</t>
  </si>
  <si>
    <t>CSL loading</t>
  </si>
  <si>
    <t>electricity unit price</t>
  </si>
  <si>
    <t>inoculum ratio</t>
  </si>
  <si>
    <t>seed train fermentation ratio</t>
  </si>
  <si>
    <t>product storage time</t>
  </si>
  <si>
    <t>boiler efficiency</t>
  </si>
  <si>
    <t>turbogenerator efficiency</t>
  </si>
  <si>
    <t>TAL</t>
  </si>
  <si>
    <t>glucose</t>
  </si>
  <si>
    <t>cornstover</t>
  </si>
  <si>
    <t>sugarcane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</si>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</sst>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abSelected="1" workbookViewId="0">
      <selection activeCell="P1" sqref="P1"/>
    </sheetView>
  </sheetViews>
  <sheetFormatPr defaultRowHeight="14.5" x14ac:dyDescent="0.35"/>
  <sheetData>
    <row r="1" spans="1:16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35">
      <c r="A2" s="1">
        <v>0</v>
      </c>
      <c r="B2" t="s">
        <v>15</v>
      </c>
      <c r="C2" t="s">
        <v>16</v>
      </c>
      <c r="D2">
        <v>-0.36991050364201461</v>
      </c>
      <c r="E2">
        <v>0.60276673106692424</v>
      </c>
      <c r="F2">
        <v>-0.29758861435445738</v>
      </c>
      <c r="G2">
        <v>-0.1031143004572018</v>
      </c>
      <c r="H2">
        <v>-1.0153096612386449E-2</v>
      </c>
      <c r="I2">
        <v>-9.4585338341353371E-3</v>
      </c>
      <c r="J2">
        <v>-8.0469537878151517E-2</v>
      </c>
      <c r="K2">
        <v>4.2749930999723997E-3</v>
      </c>
      <c r="L2">
        <v>-7.1558974235896938E-2</v>
      </c>
      <c r="M2">
        <v>-3.4713738854955421E-4</v>
      </c>
      <c r="N2">
        <v>8.3504014016056068E-3</v>
      </c>
      <c r="O2">
        <v>-0.13206820827283311</v>
      </c>
      <c r="P2">
        <v>-2.664029856119424E-2</v>
      </c>
    </row>
    <row r="3" spans="1:16" x14ac:dyDescent="0.35">
      <c r="A3" s="1">
        <v>1</v>
      </c>
      <c r="B3" t="s">
        <v>15</v>
      </c>
      <c r="C3" t="s">
        <v>17</v>
      </c>
      <c r="D3">
        <v>-0.37244520178080709</v>
      </c>
      <c r="E3">
        <v>0.28321505286021142</v>
      </c>
      <c r="F3">
        <v>-0.33515730862923448</v>
      </c>
      <c r="G3">
        <v>-0.16497944391777569</v>
      </c>
      <c r="H3">
        <v>-1.0409513638054551E-2</v>
      </c>
      <c r="I3">
        <v>-1.088317953271813E-2</v>
      </c>
      <c r="J3">
        <v>-0.1081049764199057</v>
      </c>
      <c r="K3">
        <v>-1.913326053304213E-2</v>
      </c>
      <c r="L3">
        <v>-8.7596318385273542E-2</v>
      </c>
      <c r="M3">
        <v>4.2624170496681989E-4</v>
      </c>
      <c r="N3">
        <v>2.2407065628262508E-2</v>
      </c>
      <c r="O3">
        <v>-0.37023584894339578</v>
      </c>
      <c r="P3">
        <v>-0.16973424693698769</v>
      </c>
    </row>
    <row r="4" spans="1:16" x14ac:dyDescent="0.35">
      <c r="A4" s="1">
        <v>2</v>
      </c>
      <c r="B4" t="s">
        <v>15</v>
      </c>
      <c r="C4" t="s">
        <v>18</v>
      </c>
      <c r="D4">
        <v>-0.32665935463741858</v>
      </c>
      <c r="E4">
        <v>0.3686491545966184</v>
      </c>
      <c r="F4">
        <v>-0.28778937515750058</v>
      </c>
      <c r="G4">
        <v>-0.47759173436693753</v>
      </c>
      <c r="H4">
        <v>-1.226088104352417E-2</v>
      </c>
      <c r="I4">
        <v>-2.78000792003168E-2</v>
      </c>
      <c r="J4">
        <v>-0.1029185556742227</v>
      </c>
      <c r="K4">
        <v>-2.3469885879543521E-2</v>
      </c>
      <c r="L4">
        <v>-8.0001248004992018E-2</v>
      </c>
      <c r="M4">
        <v>-1.035296941187765E-2</v>
      </c>
      <c r="N4">
        <v>4.2724970899883597E-3</v>
      </c>
      <c r="O4">
        <v>-0.23967244668978679</v>
      </c>
      <c r="P4">
        <v>-0.15890204360817439</v>
      </c>
    </row>
    <row r="5" spans="1:16" x14ac:dyDescent="0.35">
      <c r="A5" s="1">
        <v>3</v>
      </c>
      <c r="B5" t="s">
        <v>15</v>
      </c>
      <c r="C5" t="s">
        <v>19</v>
      </c>
      <c r="D5">
        <v>-0.43276473905895618</v>
      </c>
      <c r="E5">
        <v>0.21332024528098109</v>
      </c>
      <c r="F5">
        <v>-0.32809523238092952</v>
      </c>
      <c r="G5">
        <v>-0.12526542906171631</v>
      </c>
      <c r="H5">
        <v>-3.7802071208284829E-3</v>
      </c>
      <c r="I5">
        <v>-2.6895755583022329E-2</v>
      </c>
      <c r="J5">
        <v>-0.1140405841623366</v>
      </c>
      <c r="K5">
        <v>-9.5918783675134709E-3</v>
      </c>
      <c r="L5">
        <v>-8.186336745346981E-2</v>
      </c>
      <c r="M5">
        <v>1.7848487393949581E-2</v>
      </c>
      <c r="N5">
        <v>3.542250969003876E-2</v>
      </c>
      <c r="O5">
        <v>-0.23315488461953851</v>
      </c>
      <c r="P5">
        <v>-0.10897925191700771</v>
      </c>
    </row>
    <row r="6" spans="1:16" x14ac:dyDescent="0.35">
      <c r="A6" s="1">
        <v>4</v>
      </c>
      <c r="B6" t="s">
        <v>20</v>
      </c>
      <c r="C6" t="s">
        <v>16</v>
      </c>
      <c r="D6">
        <v>-0.38359497437989748</v>
      </c>
      <c r="E6">
        <v>0.63918294073176296</v>
      </c>
      <c r="F6">
        <v>-0.1052877491509966</v>
      </c>
      <c r="G6">
        <v>-9.7737222948891797E-2</v>
      </c>
      <c r="H6">
        <v>6.1558326233304927E-2</v>
      </c>
      <c r="I6">
        <v>-8.6613274453097813E-2</v>
      </c>
      <c r="J6">
        <v>5.6880131520526081E-2</v>
      </c>
      <c r="K6">
        <v>6.7902991611966446E-2</v>
      </c>
      <c r="L6">
        <v>2.265561062244249E-2</v>
      </c>
      <c r="M6">
        <v>-5.9414637658550631E-4</v>
      </c>
      <c r="N6">
        <v>3.5134316537266147E-2</v>
      </c>
      <c r="O6">
        <v>-0.10576736706946829</v>
      </c>
      <c r="P6">
        <v>-5.1142092568370268E-2</v>
      </c>
    </row>
    <row r="7" spans="1:16" x14ac:dyDescent="0.35">
      <c r="A7" s="1">
        <v>5</v>
      </c>
      <c r="B7" t="s">
        <v>20</v>
      </c>
      <c r="C7" t="s">
        <v>17</v>
      </c>
      <c r="D7">
        <v>-0.40426433705734821</v>
      </c>
      <c r="E7">
        <v>0.29275307501230002</v>
      </c>
      <c r="F7">
        <v>-0.24150883803535211</v>
      </c>
      <c r="G7">
        <v>-0.15693355573422291</v>
      </c>
      <c r="H7">
        <v>5.5997023988095952E-2</v>
      </c>
      <c r="I7">
        <v>-7.4851115404461613E-2</v>
      </c>
      <c r="J7">
        <v>6.4507650030600119E-2</v>
      </c>
      <c r="K7">
        <v>-6.7057228228912906E-3</v>
      </c>
      <c r="L7">
        <v>-1.517026868107473E-2</v>
      </c>
      <c r="M7">
        <v>1.5194844779379119E-2</v>
      </c>
      <c r="N7">
        <v>-1.8824907299629198E-2</v>
      </c>
      <c r="O7">
        <v>-0.35577771111084439</v>
      </c>
      <c r="P7">
        <v>-0.16784419137676551</v>
      </c>
    </row>
    <row r="8" spans="1:16" x14ac:dyDescent="0.35">
      <c r="A8" s="1">
        <v>6</v>
      </c>
      <c r="B8" t="s">
        <v>20</v>
      </c>
      <c r="C8" t="s">
        <v>18</v>
      </c>
      <c r="D8">
        <v>-0.33814820059280237</v>
      </c>
      <c r="E8">
        <v>0.31128191712766851</v>
      </c>
      <c r="F8">
        <v>-0.2017014148056592</v>
      </c>
      <c r="G8">
        <v>-0.46881297925191701</v>
      </c>
      <c r="H8">
        <v>5.3883191532766127E-2</v>
      </c>
      <c r="I8">
        <v>-7.9826143304573216E-2</v>
      </c>
      <c r="J8">
        <v>8.0319681278725116E-3</v>
      </c>
      <c r="K8">
        <v>1.461653846615386E-2</v>
      </c>
      <c r="L8">
        <v>-4.5405973623894487E-2</v>
      </c>
      <c r="M8">
        <v>2.2899547598190389E-2</v>
      </c>
      <c r="N8">
        <v>1.316683666734667E-2</v>
      </c>
      <c r="O8">
        <v>-0.16068016272065089</v>
      </c>
      <c r="P8">
        <v>-0.11889829959319841</v>
      </c>
    </row>
    <row r="9" spans="1:16" x14ac:dyDescent="0.35">
      <c r="A9" s="1">
        <v>7</v>
      </c>
      <c r="B9" t="s">
        <v>20</v>
      </c>
      <c r="C9" t="s">
        <v>19</v>
      </c>
      <c r="D9">
        <v>-0.4727234588938356</v>
      </c>
      <c r="E9">
        <v>0.204560018240073</v>
      </c>
      <c r="F9">
        <v>-0.24561122244488981</v>
      </c>
      <c r="G9">
        <v>-0.122315529262117</v>
      </c>
      <c r="H9">
        <v>2.9836055344221381E-2</v>
      </c>
      <c r="I9">
        <v>-4.9285925143700567E-2</v>
      </c>
      <c r="J9">
        <v>4.72124128496514E-2</v>
      </c>
      <c r="K9">
        <v>3.9775071100284401E-2</v>
      </c>
      <c r="L9">
        <v>-3.0839643358573431E-2</v>
      </c>
      <c r="M9">
        <v>3.4487753951015797E-2</v>
      </c>
      <c r="N9">
        <v>-1.1033324133296529E-3</v>
      </c>
      <c r="O9">
        <v>-0.20818000072000289</v>
      </c>
      <c r="P9">
        <v>-0.13433420133680529</v>
      </c>
    </row>
    <row r="10" spans="1:16" x14ac:dyDescent="0.35">
      <c r="A10" s="1">
        <v>8</v>
      </c>
      <c r="B10" t="s">
        <v>21</v>
      </c>
      <c r="C10" t="s">
        <v>16</v>
      </c>
      <c r="D10">
        <v>-0.30163291853167412</v>
      </c>
      <c r="E10">
        <v>0.93395989583958339</v>
      </c>
      <c r="F10">
        <v>-0.1217562310249241</v>
      </c>
      <c r="G10">
        <v>-8.5125172500690002E-2</v>
      </c>
      <c r="H10">
        <v>2.9335893343573369E-2</v>
      </c>
      <c r="I10">
        <v>-3.4167112668450683E-2</v>
      </c>
      <c r="J10">
        <v>5.0968715874863499E-2</v>
      </c>
      <c r="K10">
        <v>6.3321085284341133E-2</v>
      </c>
      <c r="L10">
        <v>2.4276193104772421E-2</v>
      </c>
      <c r="M10">
        <v>-2.2037080148320589E-2</v>
      </c>
      <c r="N10">
        <v>2.5088932355729419E-2</v>
      </c>
      <c r="O10">
        <v>-5.5680222720890883E-2</v>
      </c>
      <c r="P10">
        <v>-5.0488137952551811E-2</v>
      </c>
    </row>
    <row r="11" spans="1:16" x14ac:dyDescent="0.35">
      <c r="A11" s="1">
        <v>9</v>
      </c>
      <c r="B11" t="s">
        <v>21</v>
      </c>
      <c r="C11" t="s">
        <v>17</v>
      </c>
      <c r="D11">
        <v>-0.34079809919239679</v>
      </c>
      <c r="E11">
        <v>0.41068839475357899</v>
      </c>
      <c r="F11">
        <v>-0.27520756483025932</v>
      </c>
      <c r="G11">
        <v>-0.2117105108420434</v>
      </c>
      <c r="H11">
        <v>5.4758619034476139E-2</v>
      </c>
      <c r="I11">
        <v>-2.3901023604094421E-2</v>
      </c>
      <c r="J11">
        <v>6.5788199152796614E-2</v>
      </c>
      <c r="K11">
        <v>-3.0721370885483539E-2</v>
      </c>
      <c r="L11">
        <v>1.38373993495974E-2</v>
      </c>
      <c r="M11">
        <v>2.7056652226608909E-2</v>
      </c>
      <c r="N11">
        <v>2.110050040200161E-2</v>
      </c>
      <c r="O11">
        <v>-0.48964035856143417</v>
      </c>
      <c r="P11">
        <v>-0.2931129804519218</v>
      </c>
    </row>
    <row r="12" spans="1:16" x14ac:dyDescent="0.35">
      <c r="A12" s="1">
        <v>10</v>
      </c>
      <c r="B12" t="s">
        <v>21</v>
      </c>
      <c r="C12" t="s">
        <v>18</v>
      </c>
      <c r="D12">
        <v>-0.20025430501722011</v>
      </c>
      <c r="E12">
        <v>0.48380363121452491</v>
      </c>
      <c r="F12">
        <v>-0.28228692114768461</v>
      </c>
      <c r="G12">
        <v>-0.64293962775851099</v>
      </c>
      <c r="H12">
        <v>1.0737450949803801E-2</v>
      </c>
      <c r="I12">
        <v>8.4803859215436869E-3</v>
      </c>
      <c r="J12">
        <v>9.197287989151956E-2</v>
      </c>
      <c r="K12">
        <v>-9.3035892143568579E-3</v>
      </c>
      <c r="L12">
        <v>6.737028548114192E-2</v>
      </c>
      <c r="M12">
        <v>-1.8297673190692759E-3</v>
      </c>
      <c r="N12">
        <v>2.4614114456457829E-2</v>
      </c>
      <c r="O12">
        <v>-0.17112318049272199</v>
      </c>
      <c r="P12">
        <v>-0.21318363673454691</v>
      </c>
    </row>
    <row r="13" spans="1:16" x14ac:dyDescent="0.35">
      <c r="A13" s="1">
        <v>11</v>
      </c>
      <c r="B13" t="s">
        <v>21</v>
      </c>
      <c r="C13" t="s">
        <v>19</v>
      </c>
      <c r="D13">
        <v>-0.54540112560450238</v>
      </c>
      <c r="E13">
        <v>0.47285056340225362</v>
      </c>
      <c r="F13">
        <v>-0.29694070776283099</v>
      </c>
      <c r="G13">
        <v>-0.20970055080220321</v>
      </c>
      <c r="H13">
        <v>-1.2609554438217751E-2</v>
      </c>
      <c r="I13">
        <v>-3.7619670478681907E-2</v>
      </c>
      <c r="J13">
        <v>4.2382153528614117E-2</v>
      </c>
      <c r="K13">
        <v>-1.939303757215029E-3</v>
      </c>
      <c r="L13">
        <v>3.3250213000852007E-2</v>
      </c>
      <c r="M13">
        <v>4.2143784575138302E-2</v>
      </c>
      <c r="N13">
        <v>1.4296569186276741E-2</v>
      </c>
      <c r="O13">
        <v>-0.26690785163140651</v>
      </c>
      <c r="P13">
        <v>-0.25908497233988942</v>
      </c>
    </row>
    <row r="14" spans="1:16" x14ac:dyDescent="0.35">
      <c r="A14" s="1">
        <v>12</v>
      </c>
      <c r="B14" t="s">
        <v>22</v>
      </c>
      <c r="C14" t="s">
        <v>16</v>
      </c>
      <c r="D14">
        <v>-0.29572489312232808</v>
      </c>
      <c r="E14">
        <v>0.94892972324308111</v>
      </c>
      <c r="F14">
        <v>-0.193182329558239</v>
      </c>
      <c r="G14">
        <v>-9.3792844821120533E-2</v>
      </c>
      <c r="H14">
        <v>-0.1063886597164929</v>
      </c>
      <c r="I14">
        <v>0.11146028650716271</v>
      </c>
      <c r="J14">
        <v>5.7796444911122777E-2</v>
      </c>
      <c r="K14">
        <v>-2.9370734268356711E-2</v>
      </c>
      <c r="L14">
        <v>1.6569414235355889E-2</v>
      </c>
      <c r="M14">
        <v>8.7497187429685735E-2</v>
      </c>
      <c r="N14">
        <v>-6.3583589589739739E-2</v>
      </c>
      <c r="O14">
        <v>-5.4292357308932733E-2</v>
      </c>
      <c r="P14">
        <v>4.9906247656191401E-3</v>
      </c>
    </row>
    <row r="15" spans="1:16" x14ac:dyDescent="0.35">
      <c r="A15" s="1">
        <v>13</v>
      </c>
      <c r="B15" t="s">
        <v>22</v>
      </c>
      <c r="C15" t="s">
        <v>17</v>
      </c>
      <c r="D15">
        <v>-0.26636615915397888</v>
      </c>
      <c r="E15">
        <v>0.46635265881647042</v>
      </c>
      <c r="F15">
        <v>-0.20850821270531761</v>
      </c>
      <c r="G15">
        <v>-0.2049081227030676</v>
      </c>
      <c r="H15">
        <v>-4.3019575489387243E-2</v>
      </c>
      <c r="I15">
        <v>7.097727443186079E-2</v>
      </c>
      <c r="J15">
        <v>3.1158778969474239E-2</v>
      </c>
      <c r="K15">
        <v>-5.7434935873396827E-2</v>
      </c>
      <c r="L15">
        <v>5.987399684992125E-2</v>
      </c>
      <c r="M15">
        <v>9.3044326108152706E-2</v>
      </c>
      <c r="N15">
        <v>-8.4755118877971949E-2</v>
      </c>
      <c r="O15">
        <v>-0.52842721068026699</v>
      </c>
      <c r="P15">
        <v>-0.22997524938123451</v>
      </c>
    </row>
    <row r="16" spans="1:16" x14ac:dyDescent="0.35">
      <c r="A16" s="1">
        <v>14</v>
      </c>
      <c r="B16" t="s">
        <v>22</v>
      </c>
      <c r="C16" t="s">
        <v>18</v>
      </c>
      <c r="D16">
        <v>-0.1547318682967074</v>
      </c>
      <c r="E16">
        <v>0.54409510237755943</v>
      </c>
      <c r="F16">
        <v>-0.20505062626565659</v>
      </c>
      <c r="G16">
        <v>-0.63680492012300305</v>
      </c>
      <c r="H16">
        <v>3.4727368184204598E-2</v>
      </c>
      <c r="I16">
        <v>9.5747393684842128E-2</v>
      </c>
      <c r="J16">
        <v>4.8446711167779197E-2</v>
      </c>
      <c r="K16">
        <v>-3.7439435985899647E-2</v>
      </c>
      <c r="L16">
        <v>4.5194629865746641E-2</v>
      </c>
      <c r="M16">
        <v>0.101272031800795</v>
      </c>
      <c r="N16">
        <v>-1.941798544963624E-2</v>
      </c>
      <c r="O16">
        <v>-0.2122088052201305</v>
      </c>
      <c r="P16">
        <v>-0.197094427360684</v>
      </c>
    </row>
    <row r="17" spans="1:16" x14ac:dyDescent="0.35">
      <c r="A17" s="1">
        <v>15</v>
      </c>
      <c r="B17" t="s">
        <v>22</v>
      </c>
      <c r="C17" t="s">
        <v>19</v>
      </c>
      <c r="D17">
        <v>-0.52376659416485416</v>
      </c>
      <c r="E17">
        <v>0.54494862371559294</v>
      </c>
      <c r="F17">
        <v>-0.2524053101327533</v>
      </c>
      <c r="G17">
        <v>-0.1910732768319208</v>
      </c>
      <c r="H17">
        <v>-0.15675241881047031</v>
      </c>
      <c r="I17">
        <v>5.291382284557114E-2</v>
      </c>
      <c r="J17">
        <v>-1.7274431860796521E-2</v>
      </c>
      <c r="K17">
        <v>-3.2255306382659568E-2</v>
      </c>
      <c r="L17">
        <v>6.2506562664066595E-2</v>
      </c>
      <c r="M17">
        <v>9.5025875646891175E-2</v>
      </c>
      <c r="N17">
        <v>-0.1001785044626116</v>
      </c>
      <c r="O17">
        <v>-0.27507087677191933</v>
      </c>
      <c r="P17">
        <v>-0.16661066526663171</v>
      </c>
    </row>
    <row r="18" spans="1:16" x14ac:dyDescent="0.35">
      <c r="A18" s="1">
        <v>16</v>
      </c>
      <c r="B18" t="s">
        <v>23</v>
      </c>
      <c r="C18" t="s">
        <v>16</v>
      </c>
      <c r="D18">
        <v>-0.29206840027360109</v>
      </c>
      <c r="E18">
        <v>0.94131669326677303</v>
      </c>
      <c r="F18">
        <v>-0.1148954675818703</v>
      </c>
      <c r="G18">
        <v>-7.4987243948975796E-2</v>
      </c>
      <c r="H18">
        <v>2.2109464437857749E-2</v>
      </c>
      <c r="I18">
        <v>-3.9331837327349309E-2</v>
      </c>
      <c r="J18">
        <v>5.0335305341221367E-2</v>
      </c>
      <c r="K18">
        <v>7.0710522842091367E-2</v>
      </c>
      <c r="L18">
        <v>2.0073776295105181E-2</v>
      </c>
      <c r="M18">
        <v>-2.9842679370717481E-2</v>
      </c>
      <c r="N18">
        <v>2.3594398377593511E-2</v>
      </c>
      <c r="O18">
        <v>-4.4858483433933727E-2</v>
      </c>
      <c r="P18">
        <v>-3.4673418693674768E-2</v>
      </c>
    </row>
    <row r="19" spans="1:16" x14ac:dyDescent="0.35">
      <c r="A19" s="1">
        <v>17</v>
      </c>
      <c r="B19" t="s">
        <v>23</v>
      </c>
      <c r="C19" t="s">
        <v>17</v>
      </c>
      <c r="D19">
        <v>-0.24324759699038789</v>
      </c>
      <c r="E19">
        <v>0.33849888999555999</v>
      </c>
      <c r="F19">
        <v>-0.20882502730010921</v>
      </c>
      <c r="G19">
        <v>-0.14392531170124681</v>
      </c>
      <c r="H19">
        <v>2.3607646430585719E-2</v>
      </c>
      <c r="I19">
        <v>-3.4136200544802181E-2</v>
      </c>
      <c r="J19">
        <v>6.1159732638930563E-2</v>
      </c>
      <c r="K19">
        <v>5.2997011988047951E-3</v>
      </c>
      <c r="L19">
        <v>-5.0846507386029541E-2</v>
      </c>
      <c r="M19">
        <v>4.9130116520466078E-3</v>
      </c>
      <c r="N19">
        <v>2.3055452221808891E-2</v>
      </c>
      <c r="O19">
        <v>-0.45497077988311951</v>
      </c>
      <c r="P19">
        <v>-0.22764782259129041</v>
      </c>
    </row>
    <row r="20" spans="1:16" x14ac:dyDescent="0.35">
      <c r="A20" s="1">
        <v>18</v>
      </c>
      <c r="B20" t="s">
        <v>23</v>
      </c>
      <c r="C20" t="s">
        <v>18</v>
      </c>
      <c r="D20">
        <v>-0.22610941643766569</v>
      </c>
      <c r="E20">
        <v>0.51542250969003878</v>
      </c>
      <c r="F20">
        <v>-0.26863739454957819</v>
      </c>
      <c r="G20">
        <v>-0.57674438697754793</v>
      </c>
      <c r="H20">
        <v>2.5322981291925169E-2</v>
      </c>
      <c r="I20">
        <v>6.667226668906676E-4</v>
      </c>
      <c r="J20">
        <v>9.2299473197892792E-2</v>
      </c>
      <c r="K20">
        <v>-1.806660026640107E-2</v>
      </c>
      <c r="L20">
        <v>4.9080772323089293E-2</v>
      </c>
      <c r="M20">
        <v>-3.559598238392954E-3</v>
      </c>
      <c r="N20">
        <v>2.1713462853851419E-2</v>
      </c>
      <c r="O20">
        <v>-0.22705934023736099</v>
      </c>
      <c r="P20">
        <v>-0.25126958107832431</v>
      </c>
    </row>
    <row r="21" spans="1:16" x14ac:dyDescent="0.35">
      <c r="A21" s="1">
        <v>19</v>
      </c>
      <c r="B21" t="s">
        <v>23</v>
      </c>
      <c r="C21" t="s">
        <v>19</v>
      </c>
      <c r="D21">
        <v>-0.54086952347809392</v>
      </c>
      <c r="E21">
        <v>0.37409640838563352</v>
      </c>
      <c r="F21">
        <v>-0.27872223488893949</v>
      </c>
      <c r="G21">
        <v>-0.15309728438913761</v>
      </c>
      <c r="H21">
        <v>6.5850503402013604E-3</v>
      </c>
      <c r="I21">
        <v>-4.5140916563666263E-2</v>
      </c>
      <c r="J21">
        <v>5.0669770679082717E-2</v>
      </c>
      <c r="K21">
        <v>-5.8213960855843433E-2</v>
      </c>
      <c r="L21">
        <v>-4.6276025104100412E-3</v>
      </c>
      <c r="M21">
        <v>3.8971643886575549E-2</v>
      </c>
      <c r="N21">
        <v>1.0324169296677191E-2</v>
      </c>
      <c r="O21">
        <v>-0.38288073152292612</v>
      </c>
      <c r="P21">
        <v>-0.38566042264169059</v>
      </c>
    </row>
    <row r="22" spans="1:16" x14ac:dyDescent="0.35">
      <c r="A22" s="1">
        <v>20</v>
      </c>
      <c r="B22" t="s">
        <v>24</v>
      </c>
      <c r="C22" t="s">
        <v>16</v>
      </c>
      <c r="D22">
        <v>-0.29014983259933042</v>
      </c>
      <c r="E22">
        <v>0.94260905043620169</v>
      </c>
      <c r="F22">
        <v>-0.1141126804507218</v>
      </c>
      <c r="G22">
        <v>-7.7901431605726421E-2</v>
      </c>
      <c r="H22">
        <v>2.565399061596246E-2</v>
      </c>
      <c r="I22">
        <v>-3.6174768699074787E-2</v>
      </c>
      <c r="J22">
        <v>5.1248460993843982E-2</v>
      </c>
      <c r="K22">
        <v>6.6831147324589293E-2</v>
      </c>
      <c r="L22">
        <v>2.382979131916528E-2</v>
      </c>
      <c r="M22">
        <v>-2.7959055836223341E-2</v>
      </c>
      <c r="N22">
        <v>2.468438673754695E-2</v>
      </c>
      <c r="O22">
        <v>-4.862995451981808E-2</v>
      </c>
      <c r="P22">
        <v>-3.6168528674114693E-2</v>
      </c>
    </row>
    <row r="23" spans="1:16" x14ac:dyDescent="0.35">
      <c r="A23" s="1">
        <v>21</v>
      </c>
      <c r="B23" t="s">
        <v>24</v>
      </c>
      <c r="C23" t="s">
        <v>17</v>
      </c>
      <c r="D23">
        <v>-0.33887434749738998</v>
      </c>
      <c r="E23">
        <v>0.40094137976551908</v>
      </c>
      <c r="F23">
        <v>-0.25731626126504509</v>
      </c>
      <c r="G23">
        <v>-0.18749028596114381</v>
      </c>
      <c r="H23">
        <v>2.5306373225492899E-2</v>
      </c>
      <c r="I23">
        <v>-1.799335197340789E-2</v>
      </c>
      <c r="J23">
        <v>6.9291637166548667E-2</v>
      </c>
      <c r="K23">
        <v>-1.370194280777123E-2</v>
      </c>
      <c r="L23">
        <v>1.8509546038184149E-2</v>
      </c>
      <c r="M23">
        <v>1.5744830979323918E-2</v>
      </c>
      <c r="N23">
        <v>3.9340573362293449E-2</v>
      </c>
      <c r="O23">
        <v>-0.5432841251365006</v>
      </c>
      <c r="P23">
        <v>-0.27446634586538349</v>
      </c>
    </row>
    <row r="24" spans="1:16" x14ac:dyDescent="0.35">
      <c r="A24" s="1">
        <v>22</v>
      </c>
      <c r="B24" t="s">
        <v>24</v>
      </c>
      <c r="C24" t="s">
        <v>18</v>
      </c>
      <c r="D24">
        <v>-0.21685997143988581</v>
      </c>
      <c r="E24">
        <v>0.51250851403405617</v>
      </c>
      <c r="F24">
        <v>-0.27640017760071039</v>
      </c>
      <c r="G24">
        <v>-0.57854333817335268</v>
      </c>
      <c r="H24">
        <v>1.155076620306481E-2</v>
      </c>
      <c r="I24">
        <v>-8.1187524750098996E-4</v>
      </c>
      <c r="J24">
        <v>9.4626426505706018E-2</v>
      </c>
      <c r="K24">
        <v>-2.661341845367381E-2</v>
      </c>
      <c r="L24">
        <v>5.3206100824403288E-2</v>
      </c>
      <c r="M24">
        <v>-3.532718130872524E-3</v>
      </c>
      <c r="N24">
        <v>1.397016788067152E-2</v>
      </c>
      <c r="O24">
        <v>-0.21584563138252549</v>
      </c>
      <c r="P24">
        <v>-0.25444709778839109</v>
      </c>
    </row>
    <row r="25" spans="1:16" x14ac:dyDescent="0.35">
      <c r="A25" s="1">
        <v>23</v>
      </c>
      <c r="B25" t="s">
        <v>24</v>
      </c>
      <c r="C25" t="s">
        <v>19</v>
      </c>
      <c r="D25">
        <v>-0.47871551486205938</v>
      </c>
      <c r="E25">
        <v>0.37946302185208741</v>
      </c>
      <c r="F25">
        <v>-0.29768048672194691</v>
      </c>
      <c r="G25">
        <v>-0.15846629786519151</v>
      </c>
      <c r="H25">
        <v>5.5678110712442851E-2</v>
      </c>
      <c r="I25">
        <v>-3.8255865023460088E-2</v>
      </c>
      <c r="J25">
        <v>5.3421237684950738E-2</v>
      </c>
      <c r="K25">
        <v>-6.6649610598442391E-2</v>
      </c>
      <c r="L25">
        <v>-6.1475765903063612E-3</v>
      </c>
      <c r="M25">
        <v>2.9170676682706731E-2</v>
      </c>
      <c r="N25">
        <v>2.073425893703575E-2</v>
      </c>
      <c r="O25">
        <v>-0.34592797571190292</v>
      </c>
      <c r="P25">
        <v>-0.40402894411577639</v>
      </c>
    </row>
    <row r="27" spans="1:16" x14ac:dyDescent="0.35">
      <c r="D27">
        <f>SUM(D29:D52)</f>
        <v>24</v>
      </c>
      <c r="E27">
        <f t="shared" ref="E27:P27" si="0">SUM(E29:E52)</f>
        <v>24</v>
      </c>
      <c r="F27">
        <f t="shared" si="0"/>
        <v>24</v>
      </c>
      <c r="G27">
        <f t="shared" si="0"/>
        <v>19</v>
      </c>
      <c r="H27">
        <f t="shared" si="0"/>
        <v>2</v>
      </c>
      <c r="I27">
        <f t="shared" si="0"/>
        <v>1</v>
      </c>
      <c r="J27">
        <f t="shared" si="0"/>
        <v>3</v>
      </c>
      <c r="K27">
        <f t="shared" si="0"/>
        <v>0</v>
      </c>
      <c r="L27">
        <f t="shared" si="0"/>
        <v>0</v>
      </c>
      <c r="M27">
        <f t="shared" si="0"/>
        <v>1</v>
      </c>
      <c r="N27">
        <f t="shared" si="0"/>
        <v>1</v>
      </c>
      <c r="O27">
        <f>SUM(O29:O52)</f>
        <v>20</v>
      </c>
      <c r="P27">
        <f t="shared" si="0"/>
        <v>18</v>
      </c>
    </row>
    <row r="29" spans="1:16" x14ac:dyDescent="0.35">
      <c r="D29">
        <f>IF(ABS(D2)&gt;0.1, 1, 0)</f>
        <v>1</v>
      </c>
      <c r="E29">
        <f t="shared" ref="E29:P29" si="1">IF(ABS(E2)&gt;0.1, 1, 0)</f>
        <v>1</v>
      </c>
      <c r="F29">
        <f t="shared" si="1"/>
        <v>1</v>
      </c>
      <c r="G29">
        <f t="shared" si="1"/>
        <v>1</v>
      </c>
      <c r="H29">
        <f t="shared" si="1"/>
        <v>0</v>
      </c>
      <c r="I29">
        <f t="shared" si="1"/>
        <v>0</v>
      </c>
      <c r="J29">
        <f t="shared" si="1"/>
        <v>0</v>
      </c>
      <c r="K29">
        <f t="shared" si="1"/>
        <v>0</v>
      </c>
      <c r="L29">
        <f t="shared" si="1"/>
        <v>0</v>
      </c>
      <c r="M29">
        <f t="shared" si="1"/>
        <v>0</v>
      </c>
      <c r="N29">
        <f t="shared" si="1"/>
        <v>0</v>
      </c>
      <c r="O29">
        <f t="shared" si="1"/>
        <v>1</v>
      </c>
      <c r="P29">
        <f t="shared" si="1"/>
        <v>0</v>
      </c>
    </row>
    <row r="30" spans="1:16" x14ac:dyDescent="0.35">
      <c r="D30">
        <f t="shared" ref="D30:P45" si="2">IF(ABS(D3)&gt;0.1, 1, 0)</f>
        <v>1</v>
      </c>
      <c r="E30">
        <f t="shared" si="2"/>
        <v>1</v>
      </c>
      <c r="F30">
        <f t="shared" si="2"/>
        <v>1</v>
      </c>
      <c r="G30">
        <f t="shared" si="2"/>
        <v>1</v>
      </c>
      <c r="H30">
        <f t="shared" si="2"/>
        <v>0</v>
      </c>
      <c r="I30">
        <f t="shared" si="2"/>
        <v>0</v>
      </c>
      <c r="J30">
        <f t="shared" si="2"/>
        <v>1</v>
      </c>
      <c r="K30">
        <f t="shared" si="2"/>
        <v>0</v>
      </c>
      <c r="L30">
        <f t="shared" si="2"/>
        <v>0</v>
      </c>
      <c r="M30">
        <f t="shared" si="2"/>
        <v>0</v>
      </c>
      <c r="N30">
        <f t="shared" si="2"/>
        <v>0</v>
      </c>
      <c r="O30">
        <f t="shared" si="2"/>
        <v>1</v>
      </c>
      <c r="P30">
        <f t="shared" si="2"/>
        <v>1</v>
      </c>
    </row>
    <row r="31" spans="1:16" x14ac:dyDescent="0.35">
      <c r="D31">
        <f t="shared" si="2"/>
        <v>1</v>
      </c>
      <c r="E31">
        <f t="shared" si="2"/>
        <v>1</v>
      </c>
      <c r="F31">
        <f t="shared" si="2"/>
        <v>1</v>
      </c>
      <c r="G31">
        <f t="shared" si="2"/>
        <v>1</v>
      </c>
      <c r="H31">
        <f t="shared" si="2"/>
        <v>0</v>
      </c>
      <c r="I31">
        <f t="shared" si="2"/>
        <v>0</v>
      </c>
      <c r="J31">
        <f t="shared" si="2"/>
        <v>1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1</v>
      </c>
      <c r="P31">
        <f t="shared" si="2"/>
        <v>1</v>
      </c>
    </row>
    <row r="32" spans="1:16" x14ac:dyDescent="0.35">
      <c r="D32">
        <f t="shared" si="2"/>
        <v>1</v>
      </c>
      <c r="E32">
        <f t="shared" si="2"/>
        <v>1</v>
      </c>
      <c r="F32">
        <f t="shared" si="2"/>
        <v>1</v>
      </c>
      <c r="G32">
        <f t="shared" si="2"/>
        <v>1</v>
      </c>
      <c r="H32">
        <f t="shared" si="2"/>
        <v>0</v>
      </c>
      <c r="I32">
        <f t="shared" si="2"/>
        <v>0</v>
      </c>
      <c r="J32">
        <f t="shared" si="2"/>
        <v>1</v>
      </c>
      <c r="K32">
        <f t="shared" si="2"/>
        <v>0</v>
      </c>
      <c r="L32">
        <f t="shared" si="2"/>
        <v>0</v>
      </c>
      <c r="M32">
        <f t="shared" si="2"/>
        <v>0</v>
      </c>
      <c r="N32">
        <f t="shared" si="2"/>
        <v>0</v>
      </c>
      <c r="O32">
        <f t="shared" si="2"/>
        <v>1</v>
      </c>
      <c r="P32">
        <f t="shared" si="2"/>
        <v>1</v>
      </c>
    </row>
    <row r="33" spans="4:16" x14ac:dyDescent="0.35">
      <c r="D33">
        <f t="shared" si="2"/>
        <v>1</v>
      </c>
      <c r="E33">
        <f t="shared" si="2"/>
        <v>1</v>
      </c>
      <c r="F33">
        <f t="shared" si="2"/>
        <v>1</v>
      </c>
      <c r="G33">
        <f t="shared" si="2"/>
        <v>0</v>
      </c>
      <c r="H33">
        <f t="shared" si="2"/>
        <v>0</v>
      </c>
      <c r="I33">
        <f t="shared" si="2"/>
        <v>0</v>
      </c>
      <c r="J33">
        <f t="shared" si="2"/>
        <v>0</v>
      </c>
      <c r="K33">
        <f t="shared" si="2"/>
        <v>0</v>
      </c>
      <c r="L33">
        <f t="shared" si="2"/>
        <v>0</v>
      </c>
      <c r="M33">
        <f t="shared" si="2"/>
        <v>0</v>
      </c>
      <c r="N33">
        <f t="shared" si="2"/>
        <v>0</v>
      </c>
      <c r="O33">
        <f t="shared" si="2"/>
        <v>1</v>
      </c>
      <c r="P33">
        <f t="shared" si="2"/>
        <v>0</v>
      </c>
    </row>
    <row r="34" spans="4:16" x14ac:dyDescent="0.35">
      <c r="D34">
        <f t="shared" si="2"/>
        <v>1</v>
      </c>
      <c r="E34">
        <f t="shared" si="2"/>
        <v>1</v>
      </c>
      <c r="F34">
        <f t="shared" si="2"/>
        <v>1</v>
      </c>
      <c r="G34">
        <f t="shared" si="2"/>
        <v>1</v>
      </c>
      <c r="H34">
        <f t="shared" si="2"/>
        <v>0</v>
      </c>
      <c r="I34">
        <f t="shared" si="2"/>
        <v>0</v>
      </c>
      <c r="J34">
        <f t="shared" si="2"/>
        <v>0</v>
      </c>
      <c r="K34">
        <f t="shared" si="2"/>
        <v>0</v>
      </c>
      <c r="L34">
        <f t="shared" si="2"/>
        <v>0</v>
      </c>
      <c r="M34">
        <f t="shared" si="2"/>
        <v>0</v>
      </c>
      <c r="N34">
        <f t="shared" si="2"/>
        <v>0</v>
      </c>
      <c r="O34">
        <f t="shared" si="2"/>
        <v>1</v>
      </c>
      <c r="P34">
        <f t="shared" si="2"/>
        <v>1</v>
      </c>
    </row>
    <row r="35" spans="4:16" x14ac:dyDescent="0.35">
      <c r="D35">
        <f t="shared" si="2"/>
        <v>1</v>
      </c>
      <c r="E35">
        <f t="shared" si="2"/>
        <v>1</v>
      </c>
      <c r="F35">
        <f t="shared" si="2"/>
        <v>1</v>
      </c>
      <c r="G35">
        <f t="shared" si="2"/>
        <v>1</v>
      </c>
      <c r="H35">
        <f t="shared" si="2"/>
        <v>0</v>
      </c>
      <c r="I35">
        <f t="shared" si="2"/>
        <v>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1</v>
      </c>
      <c r="P35">
        <f t="shared" si="2"/>
        <v>1</v>
      </c>
    </row>
    <row r="36" spans="4:16" x14ac:dyDescent="0.35">
      <c r="D36">
        <f t="shared" si="2"/>
        <v>1</v>
      </c>
      <c r="E36">
        <f t="shared" si="2"/>
        <v>1</v>
      </c>
      <c r="F36">
        <f t="shared" si="2"/>
        <v>1</v>
      </c>
      <c r="G36">
        <f t="shared" si="2"/>
        <v>1</v>
      </c>
      <c r="H36">
        <f t="shared" si="2"/>
        <v>0</v>
      </c>
      <c r="I36">
        <f t="shared" si="2"/>
        <v>0</v>
      </c>
      <c r="J36">
        <f t="shared" si="2"/>
        <v>0</v>
      </c>
      <c r="K36">
        <f t="shared" si="2"/>
        <v>0</v>
      </c>
      <c r="L36">
        <f t="shared" si="2"/>
        <v>0</v>
      </c>
      <c r="M36">
        <f t="shared" si="2"/>
        <v>0</v>
      </c>
      <c r="N36">
        <f t="shared" si="2"/>
        <v>0</v>
      </c>
      <c r="O36">
        <f t="shared" si="2"/>
        <v>1</v>
      </c>
      <c r="P36">
        <f t="shared" si="2"/>
        <v>1</v>
      </c>
    </row>
    <row r="37" spans="4:16" x14ac:dyDescent="0.35">
      <c r="D37">
        <f t="shared" si="2"/>
        <v>1</v>
      </c>
      <c r="E37">
        <f t="shared" si="2"/>
        <v>1</v>
      </c>
      <c r="F37">
        <f t="shared" si="2"/>
        <v>1</v>
      </c>
      <c r="G37">
        <f t="shared" si="2"/>
        <v>0</v>
      </c>
      <c r="H37">
        <f t="shared" si="2"/>
        <v>0</v>
      </c>
      <c r="I37">
        <f t="shared" si="2"/>
        <v>0</v>
      </c>
      <c r="J37">
        <f t="shared" si="2"/>
        <v>0</v>
      </c>
      <c r="K37">
        <f t="shared" si="2"/>
        <v>0</v>
      </c>
      <c r="L37">
        <f t="shared" si="2"/>
        <v>0</v>
      </c>
      <c r="M37">
        <f t="shared" si="2"/>
        <v>0</v>
      </c>
      <c r="N37">
        <f t="shared" si="2"/>
        <v>0</v>
      </c>
      <c r="O37">
        <f t="shared" si="2"/>
        <v>0</v>
      </c>
      <c r="P37">
        <f t="shared" si="2"/>
        <v>0</v>
      </c>
    </row>
    <row r="38" spans="4:16" x14ac:dyDescent="0.35">
      <c r="D38">
        <f t="shared" si="2"/>
        <v>1</v>
      </c>
      <c r="E38">
        <f t="shared" si="2"/>
        <v>1</v>
      </c>
      <c r="F38">
        <f t="shared" si="2"/>
        <v>1</v>
      </c>
      <c r="G38">
        <f t="shared" si="2"/>
        <v>1</v>
      </c>
      <c r="H38">
        <f t="shared" si="2"/>
        <v>0</v>
      </c>
      <c r="I38">
        <f t="shared" si="2"/>
        <v>0</v>
      </c>
      <c r="J38">
        <f t="shared" si="2"/>
        <v>0</v>
      </c>
      <c r="K38">
        <f t="shared" si="2"/>
        <v>0</v>
      </c>
      <c r="L38">
        <f t="shared" si="2"/>
        <v>0</v>
      </c>
      <c r="M38">
        <f t="shared" si="2"/>
        <v>0</v>
      </c>
      <c r="N38">
        <f t="shared" si="2"/>
        <v>0</v>
      </c>
      <c r="O38">
        <f t="shared" si="2"/>
        <v>1</v>
      </c>
      <c r="P38">
        <f t="shared" si="2"/>
        <v>1</v>
      </c>
    </row>
    <row r="39" spans="4:16" x14ac:dyDescent="0.35">
      <c r="D39">
        <f t="shared" si="2"/>
        <v>1</v>
      </c>
      <c r="E39">
        <f t="shared" si="2"/>
        <v>1</v>
      </c>
      <c r="F39">
        <f t="shared" si="2"/>
        <v>1</v>
      </c>
      <c r="G39">
        <f t="shared" si="2"/>
        <v>1</v>
      </c>
      <c r="H39">
        <f t="shared" si="2"/>
        <v>0</v>
      </c>
      <c r="I39">
        <f t="shared" si="2"/>
        <v>0</v>
      </c>
      <c r="J39">
        <f t="shared" si="2"/>
        <v>0</v>
      </c>
      <c r="K39">
        <f t="shared" si="2"/>
        <v>0</v>
      </c>
      <c r="L39">
        <f t="shared" si="2"/>
        <v>0</v>
      </c>
      <c r="M39">
        <f t="shared" si="2"/>
        <v>0</v>
      </c>
      <c r="N39">
        <f t="shared" si="2"/>
        <v>0</v>
      </c>
      <c r="O39">
        <f t="shared" si="2"/>
        <v>1</v>
      </c>
      <c r="P39">
        <f t="shared" si="2"/>
        <v>1</v>
      </c>
    </row>
    <row r="40" spans="4:16" x14ac:dyDescent="0.35">
      <c r="D40">
        <f t="shared" si="2"/>
        <v>1</v>
      </c>
      <c r="E40">
        <f t="shared" si="2"/>
        <v>1</v>
      </c>
      <c r="F40">
        <f t="shared" si="2"/>
        <v>1</v>
      </c>
      <c r="G40">
        <f t="shared" si="2"/>
        <v>1</v>
      </c>
      <c r="H40">
        <f t="shared" si="2"/>
        <v>0</v>
      </c>
      <c r="I40">
        <f t="shared" si="2"/>
        <v>0</v>
      </c>
      <c r="J40">
        <f t="shared" si="2"/>
        <v>0</v>
      </c>
      <c r="K40">
        <f t="shared" si="2"/>
        <v>0</v>
      </c>
      <c r="L40">
        <f t="shared" si="2"/>
        <v>0</v>
      </c>
      <c r="M40">
        <f t="shared" si="2"/>
        <v>0</v>
      </c>
      <c r="N40">
        <f t="shared" si="2"/>
        <v>0</v>
      </c>
      <c r="O40">
        <f t="shared" si="2"/>
        <v>1</v>
      </c>
      <c r="P40">
        <f t="shared" si="2"/>
        <v>1</v>
      </c>
    </row>
    <row r="41" spans="4:16" x14ac:dyDescent="0.35">
      <c r="D41">
        <f t="shared" si="2"/>
        <v>1</v>
      </c>
      <c r="E41">
        <f t="shared" si="2"/>
        <v>1</v>
      </c>
      <c r="F41">
        <f t="shared" si="2"/>
        <v>1</v>
      </c>
      <c r="G41">
        <f t="shared" si="2"/>
        <v>0</v>
      </c>
      <c r="H41">
        <f t="shared" si="2"/>
        <v>1</v>
      </c>
      <c r="I41">
        <f t="shared" si="2"/>
        <v>1</v>
      </c>
      <c r="J41">
        <f t="shared" si="2"/>
        <v>0</v>
      </c>
      <c r="K41">
        <f t="shared" si="2"/>
        <v>0</v>
      </c>
      <c r="L41">
        <f t="shared" si="2"/>
        <v>0</v>
      </c>
      <c r="M41">
        <f t="shared" si="2"/>
        <v>0</v>
      </c>
      <c r="N41">
        <f t="shared" si="2"/>
        <v>0</v>
      </c>
      <c r="O41">
        <f t="shared" si="2"/>
        <v>0</v>
      </c>
      <c r="P41">
        <f t="shared" si="2"/>
        <v>0</v>
      </c>
    </row>
    <row r="42" spans="4:16" x14ac:dyDescent="0.35">
      <c r="D42">
        <f t="shared" si="2"/>
        <v>1</v>
      </c>
      <c r="E42">
        <f t="shared" si="2"/>
        <v>1</v>
      </c>
      <c r="F42">
        <f t="shared" si="2"/>
        <v>1</v>
      </c>
      <c r="G42">
        <f t="shared" si="2"/>
        <v>1</v>
      </c>
      <c r="H42">
        <f t="shared" si="2"/>
        <v>0</v>
      </c>
      <c r="I42">
        <f t="shared" si="2"/>
        <v>0</v>
      </c>
      <c r="J42">
        <f t="shared" si="2"/>
        <v>0</v>
      </c>
      <c r="K42">
        <f t="shared" si="2"/>
        <v>0</v>
      </c>
      <c r="L42">
        <f t="shared" si="2"/>
        <v>0</v>
      </c>
      <c r="M42">
        <f t="shared" si="2"/>
        <v>0</v>
      </c>
      <c r="N42">
        <f t="shared" si="2"/>
        <v>0</v>
      </c>
      <c r="O42">
        <f t="shared" si="2"/>
        <v>1</v>
      </c>
      <c r="P42">
        <f t="shared" si="2"/>
        <v>1</v>
      </c>
    </row>
    <row r="43" spans="4:16" x14ac:dyDescent="0.35">
      <c r="D43">
        <f t="shared" si="2"/>
        <v>1</v>
      </c>
      <c r="E43">
        <f t="shared" si="2"/>
        <v>1</v>
      </c>
      <c r="F43">
        <f t="shared" si="2"/>
        <v>1</v>
      </c>
      <c r="G43">
        <f t="shared" si="2"/>
        <v>1</v>
      </c>
      <c r="H43">
        <f t="shared" si="2"/>
        <v>0</v>
      </c>
      <c r="I43">
        <f t="shared" si="2"/>
        <v>0</v>
      </c>
      <c r="J43">
        <f t="shared" si="2"/>
        <v>0</v>
      </c>
      <c r="K43">
        <f t="shared" si="2"/>
        <v>0</v>
      </c>
      <c r="L43">
        <f t="shared" si="2"/>
        <v>0</v>
      </c>
      <c r="M43">
        <f t="shared" si="2"/>
        <v>1</v>
      </c>
      <c r="N43">
        <f t="shared" si="2"/>
        <v>0</v>
      </c>
      <c r="O43">
        <f t="shared" si="2"/>
        <v>1</v>
      </c>
      <c r="P43">
        <f t="shared" si="2"/>
        <v>1</v>
      </c>
    </row>
    <row r="44" spans="4:16" x14ac:dyDescent="0.35">
      <c r="D44">
        <f t="shared" si="2"/>
        <v>1</v>
      </c>
      <c r="E44">
        <f t="shared" si="2"/>
        <v>1</v>
      </c>
      <c r="F44">
        <f t="shared" si="2"/>
        <v>1</v>
      </c>
      <c r="G44">
        <f t="shared" si="2"/>
        <v>1</v>
      </c>
      <c r="H44">
        <f t="shared" si="2"/>
        <v>1</v>
      </c>
      <c r="I44">
        <f t="shared" si="2"/>
        <v>0</v>
      </c>
      <c r="J44">
        <f t="shared" si="2"/>
        <v>0</v>
      </c>
      <c r="K44">
        <f t="shared" si="2"/>
        <v>0</v>
      </c>
      <c r="L44">
        <f t="shared" si="2"/>
        <v>0</v>
      </c>
      <c r="M44">
        <f t="shared" si="2"/>
        <v>0</v>
      </c>
      <c r="N44">
        <f t="shared" si="2"/>
        <v>1</v>
      </c>
      <c r="O44">
        <f t="shared" si="2"/>
        <v>1</v>
      </c>
      <c r="P44">
        <f t="shared" si="2"/>
        <v>1</v>
      </c>
    </row>
    <row r="45" spans="4:16" x14ac:dyDescent="0.35">
      <c r="D45">
        <f t="shared" si="2"/>
        <v>1</v>
      </c>
      <c r="E45">
        <f t="shared" si="2"/>
        <v>1</v>
      </c>
      <c r="F45">
        <f t="shared" si="2"/>
        <v>1</v>
      </c>
      <c r="G45">
        <f t="shared" si="2"/>
        <v>0</v>
      </c>
      <c r="H45">
        <f t="shared" si="2"/>
        <v>0</v>
      </c>
      <c r="I45">
        <f t="shared" si="2"/>
        <v>0</v>
      </c>
      <c r="J45">
        <f t="shared" si="2"/>
        <v>0</v>
      </c>
      <c r="K45">
        <f t="shared" si="2"/>
        <v>0</v>
      </c>
      <c r="L45">
        <f t="shared" si="2"/>
        <v>0</v>
      </c>
      <c r="M45">
        <f t="shared" si="2"/>
        <v>0</v>
      </c>
      <c r="N45">
        <f t="shared" si="2"/>
        <v>0</v>
      </c>
      <c r="O45">
        <f t="shared" si="2"/>
        <v>0</v>
      </c>
      <c r="P45">
        <f t="shared" si="2"/>
        <v>0</v>
      </c>
    </row>
    <row r="46" spans="4:16" x14ac:dyDescent="0.35">
      <c r="D46">
        <f t="shared" ref="D46:P52" si="3">IF(ABS(D19)&gt;0.1, 1, 0)</f>
        <v>1</v>
      </c>
      <c r="E46">
        <f t="shared" si="3"/>
        <v>1</v>
      </c>
      <c r="F46">
        <f t="shared" si="3"/>
        <v>1</v>
      </c>
      <c r="G46">
        <f t="shared" si="3"/>
        <v>1</v>
      </c>
      <c r="H46">
        <f t="shared" si="3"/>
        <v>0</v>
      </c>
      <c r="I46">
        <f t="shared" si="3"/>
        <v>0</v>
      </c>
      <c r="J46">
        <f t="shared" si="3"/>
        <v>0</v>
      </c>
      <c r="K46">
        <f t="shared" si="3"/>
        <v>0</v>
      </c>
      <c r="L46">
        <f t="shared" si="3"/>
        <v>0</v>
      </c>
      <c r="M46">
        <f t="shared" si="3"/>
        <v>0</v>
      </c>
      <c r="N46">
        <f t="shared" si="3"/>
        <v>0</v>
      </c>
      <c r="O46">
        <f t="shared" si="3"/>
        <v>1</v>
      </c>
      <c r="P46">
        <f t="shared" si="3"/>
        <v>1</v>
      </c>
    </row>
    <row r="47" spans="4:16" x14ac:dyDescent="0.35">
      <c r="D47">
        <f t="shared" si="3"/>
        <v>1</v>
      </c>
      <c r="E47">
        <f t="shared" si="3"/>
        <v>1</v>
      </c>
      <c r="F47">
        <f t="shared" si="3"/>
        <v>1</v>
      </c>
      <c r="G47">
        <f t="shared" si="3"/>
        <v>1</v>
      </c>
      <c r="H47">
        <f t="shared" si="3"/>
        <v>0</v>
      </c>
      <c r="I47">
        <f t="shared" si="3"/>
        <v>0</v>
      </c>
      <c r="J47">
        <f t="shared" si="3"/>
        <v>0</v>
      </c>
      <c r="K47">
        <f t="shared" si="3"/>
        <v>0</v>
      </c>
      <c r="L47">
        <f t="shared" si="3"/>
        <v>0</v>
      </c>
      <c r="M47">
        <f t="shared" si="3"/>
        <v>0</v>
      </c>
      <c r="N47">
        <f t="shared" si="3"/>
        <v>0</v>
      </c>
      <c r="O47">
        <f t="shared" si="3"/>
        <v>1</v>
      </c>
      <c r="P47">
        <f t="shared" si="3"/>
        <v>1</v>
      </c>
    </row>
    <row r="48" spans="4:16" x14ac:dyDescent="0.35">
      <c r="D48">
        <f t="shared" si="3"/>
        <v>1</v>
      </c>
      <c r="E48">
        <f t="shared" si="3"/>
        <v>1</v>
      </c>
      <c r="F48">
        <f t="shared" si="3"/>
        <v>1</v>
      </c>
      <c r="G48">
        <f t="shared" si="3"/>
        <v>1</v>
      </c>
      <c r="H48">
        <f t="shared" si="3"/>
        <v>0</v>
      </c>
      <c r="I48">
        <f t="shared" si="3"/>
        <v>0</v>
      </c>
      <c r="J48">
        <f t="shared" si="3"/>
        <v>0</v>
      </c>
      <c r="K48">
        <f t="shared" si="3"/>
        <v>0</v>
      </c>
      <c r="L48">
        <f t="shared" si="3"/>
        <v>0</v>
      </c>
      <c r="M48">
        <f t="shared" si="3"/>
        <v>0</v>
      </c>
      <c r="N48">
        <f t="shared" si="3"/>
        <v>0</v>
      </c>
      <c r="O48">
        <f t="shared" si="3"/>
        <v>1</v>
      </c>
      <c r="P48">
        <f t="shared" si="3"/>
        <v>1</v>
      </c>
    </row>
    <row r="49" spans="4:16" x14ac:dyDescent="0.35">
      <c r="D49">
        <f t="shared" si="3"/>
        <v>1</v>
      </c>
      <c r="E49">
        <f t="shared" si="3"/>
        <v>1</v>
      </c>
      <c r="F49">
        <f t="shared" si="3"/>
        <v>1</v>
      </c>
      <c r="G49">
        <f t="shared" si="3"/>
        <v>0</v>
      </c>
      <c r="H49">
        <f t="shared" si="3"/>
        <v>0</v>
      </c>
      <c r="I49">
        <f t="shared" si="3"/>
        <v>0</v>
      </c>
      <c r="J49">
        <f t="shared" si="3"/>
        <v>0</v>
      </c>
      <c r="K49">
        <f t="shared" si="3"/>
        <v>0</v>
      </c>
      <c r="L49">
        <f t="shared" si="3"/>
        <v>0</v>
      </c>
      <c r="M49">
        <f t="shared" si="3"/>
        <v>0</v>
      </c>
      <c r="N49">
        <f t="shared" si="3"/>
        <v>0</v>
      </c>
      <c r="O49">
        <f t="shared" si="3"/>
        <v>0</v>
      </c>
      <c r="P49">
        <f t="shared" si="3"/>
        <v>0</v>
      </c>
    </row>
    <row r="50" spans="4:16" x14ac:dyDescent="0.35">
      <c r="D50">
        <f t="shared" si="3"/>
        <v>1</v>
      </c>
      <c r="E50">
        <f t="shared" si="3"/>
        <v>1</v>
      </c>
      <c r="F50">
        <f t="shared" si="3"/>
        <v>1</v>
      </c>
      <c r="G50">
        <f t="shared" si="3"/>
        <v>1</v>
      </c>
      <c r="H50">
        <f t="shared" si="3"/>
        <v>0</v>
      </c>
      <c r="I50">
        <f t="shared" si="3"/>
        <v>0</v>
      </c>
      <c r="J50">
        <f t="shared" si="3"/>
        <v>0</v>
      </c>
      <c r="K50">
        <f t="shared" si="3"/>
        <v>0</v>
      </c>
      <c r="L50">
        <f t="shared" si="3"/>
        <v>0</v>
      </c>
      <c r="M50">
        <f t="shared" si="3"/>
        <v>0</v>
      </c>
      <c r="N50">
        <f t="shared" si="3"/>
        <v>0</v>
      </c>
      <c r="O50">
        <f t="shared" si="3"/>
        <v>1</v>
      </c>
      <c r="P50">
        <f t="shared" si="3"/>
        <v>1</v>
      </c>
    </row>
    <row r="51" spans="4:16" x14ac:dyDescent="0.35">
      <c r="D51">
        <f t="shared" si="3"/>
        <v>1</v>
      </c>
      <c r="E51">
        <f t="shared" si="3"/>
        <v>1</v>
      </c>
      <c r="F51">
        <f t="shared" si="3"/>
        <v>1</v>
      </c>
      <c r="G51">
        <f t="shared" si="3"/>
        <v>1</v>
      </c>
      <c r="H51">
        <f t="shared" si="3"/>
        <v>0</v>
      </c>
      <c r="I51">
        <f t="shared" si="3"/>
        <v>0</v>
      </c>
      <c r="J51">
        <f t="shared" si="3"/>
        <v>0</v>
      </c>
      <c r="K51">
        <f t="shared" si="3"/>
        <v>0</v>
      </c>
      <c r="L51">
        <f t="shared" si="3"/>
        <v>0</v>
      </c>
      <c r="M51">
        <f t="shared" si="3"/>
        <v>0</v>
      </c>
      <c r="N51">
        <f t="shared" si="3"/>
        <v>0</v>
      </c>
      <c r="O51">
        <f t="shared" si="3"/>
        <v>1</v>
      </c>
      <c r="P51">
        <f t="shared" si="3"/>
        <v>1</v>
      </c>
    </row>
    <row r="52" spans="4:16" x14ac:dyDescent="0.35">
      <c r="D52">
        <f t="shared" si="3"/>
        <v>1</v>
      </c>
      <c r="E52">
        <f t="shared" si="3"/>
        <v>1</v>
      </c>
      <c r="F52">
        <f t="shared" si="3"/>
        <v>1</v>
      </c>
      <c r="G52">
        <f t="shared" si="3"/>
        <v>1</v>
      </c>
      <c r="H52">
        <f t="shared" si="3"/>
        <v>0</v>
      </c>
      <c r="I52">
        <f t="shared" si="3"/>
        <v>0</v>
      </c>
      <c r="J52">
        <f t="shared" si="3"/>
        <v>0</v>
      </c>
      <c r="K52">
        <f t="shared" si="3"/>
        <v>0</v>
      </c>
      <c r="L52">
        <f t="shared" si="3"/>
        <v>0</v>
      </c>
      <c r="M52">
        <f t="shared" si="3"/>
        <v>0</v>
      </c>
      <c r="N52">
        <f t="shared" si="3"/>
        <v>0</v>
      </c>
      <c r="O52">
        <f t="shared" si="3"/>
        <v>1</v>
      </c>
      <c r="P52">
        <f t="shared" si="3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2024-12-23T21:22:28Z</dcterms:created>
  <dcterms:modified xsi:type="dcterms:W3CDTF">2024-12-24T00:16:35Z</dcterms:modified>
</cp:coreProperties>
</file>