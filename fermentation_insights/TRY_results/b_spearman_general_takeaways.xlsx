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/>
  <mc:AlternateContent xmlns:mc="http://schemas.openxmlformats.org/markup-compatibility/2006">
    <mc:Choice Requires="x15">
      <x15ac:absPath xmlns:x15ac="http://schemas.microsoft.com/office/spreadsheetml/2010/11/ac" url="C:\Users\saran\Documents\Academia\repository_clones\fermentation_insights\fermentation_insights\TRY_results\"/>
    </mc:Choice>
  </mc:AlternateContent>
  <xr:revisionPtr revIDLastSave="0" documentId="13_ncr:1_{7F329920-666F-4766-982D-BFD117FBB2F6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2" i="1" l="1"/>
  <c r="O52" i="1"/>
  <c r="N52" i="1"/>
  <c r="M52" i="1"/>
  <c r="L52" i="1"/>
  <c r="K52" i="1"/>
  <c r="J52" i="1"/>
  <c r="I52" i="1"/>
  <c r="H52" i="1"/>
  <c r="G52" i="1"/>
  <c r="F52" i="1"/>
  <c r="E52" i="1"/>
  <c r="D52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P50" i="1"/>
  <c r="O50" i="1"/>
  <c r="N50" i="1"/>
  <c r="M50" i="1"/>
  <c r="L50" i="1"/>
  <c r="K50" i="1"/>
  <c r="K27" i="1" s="1"/>
  <c r="J50" i="1"/>
  <c r="I50" i="1"/>
  <c r="H50" i="1"/>
  <c r="G50" i="1"/>
  <c r="F50" i="1"/>
  <c r="E50" i="1"/>
  <c r="D50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P45" i="1"/>
  <c r="O45" i="1"/>
  <c r="N45" i="1"/>
  <c r="M45" i="1"/>
  <c r="L45" i="1"/>
  <c r="L27" i="1" s="1"/>
  <c r="K45" i="1"/>
  <c r="J45" i="1"/>
  <c r="I45" i="1"/>
  <c r="H45" i="1"/>
  <c r="G45" i="1"/>
  <c r="F45" i="1"/>
  <c r="E45" i="1"/>
  <c r="D45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P40" i="1"/>
  <c r="O40" i="1"/>
  <c r="N40" i="1"/>
  <c r="M40" i="1"/>
  <c r="M27" i="1" s="1"/>
  <c r="L40" i="1"/>
  <c r="K40" i="1"/>
  <c r="J40" i="1"/>
  <c r="I40" i="1"/>
  <c r="H40" i="1"/>
  <c r="G40" i="1"/>
  <c r="F40" i="1"/>
  <c r="E40" i="1"/>
  <c r="D40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P35" i="1"/>
  <c r="O35" i="1"/>
  <c r="N35" i="1"/>
  <c r="N27" i="1" s="1"/>
  <c r="M35" i="1"/>
  <c r="L35" i="1"/>
  <c r="K35" i="1"/>
  <c r="J35" i="1"/>
  <c r="I35" i="1"/>
  <c r="H35" i="1"/>
  <c r="G35" i="1"/>
  <c r="F35" i="1"/>
  <c r="E35" i="1"/>
  <c r="D35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P30" i="1"/>
  <c r="P27" i="1" s="1"/>
  <c r="O30" i="1"/>
  <c r="O27" i="1" s="1"/>
  <c r="N30" i="1"/>
  <c r="M30" i="1"/>
  <c r="L30" i="1"/>
  <c r="K30" i="1"/>
  <c r="J30" i="1"/>
  <c r="I30" i="1"/>
  <c r="H30" i="1"/>
  <c r="G30" i="1"/>
  <c r="F30" i="1"/>
  <c r="E30" i="1"/>
  <c r="D30" i="1"/>
  <c r="P29" i="1"/>
  <c r="O29" i="1"/>
  <c r="N29" i="1"/>
  <c r="M29" i="1"/>
  <c r="L29" i="1"/>
  <c r="K29" i="1"/>
  <c r="J29" i="1"/>
  <c r="I29" i="1"/>
  <c r="H29" i="1"/>
  <c r="H27" i="1" s="1"/>
  <c r="G29" i="1"/>
  <c r="G27" i="1" s="1"/>
  <c r="F29" i="1"/>
  <c r="F27" i="1" s="1"/>
  <c r="E29" i="1"/>
  <c r="E27" i="1" s="1"/>
  <c r="D29" i="1"/>
  <c r="D27" i="1" s="1"/>
  <c r="J27" i="1"/>
  <c r="I27" i="1"/>
</calcChain>
</file>

<file path=xl/sharedStrings.xml><?xml version="1.0" encoding="utf-8"?>
<sst xmlns="http://schemas.openxmlformats.org/spreadsheetml/2006/main" count="63" uniqueCount="25">
  <si>
    <t>product</t>
  </si>
  <si>
    <t>feedstock</t>
  </si>
  <si>
    <t>fermentation cell mass yield</t>
  </si>
  <si>
    <t>feedstock unit price</t>
  </si>
  <si>
    <t>feedstock capacity</t>
  </si>
  <si>
    <t>operating time</t>
  </si>
  <si>
    <t>natural gas unit price</t>
  </si>
  <si>
    <t>CSL unit price</t>
  </si>
  <si>
    <t>CSL loading</t>
  </si>
  <si>
    <t>electricity unit price</t>
  </si>
  <si>
    <t>inoculum ratio</t>
  </si>
  <si>
    <t>seed train fermentation ratio</t>
  </si>
  <si>
    <t>product storage time</t>
  </si>
  <si>
    <t>boiler efficiency</t>
  </si>
  <si>
    <t>turbogenerator efficiency</t>
  </si>
  <si>
    <t>TAL</t>
  </si>
  <si>
    <t>glucose</t>
  </si>
  <si>
    <t>sugarcane</t>
  </si>
  <si>
    <t>cornstover</t>
  </si>
  <si>
    <t>corn</t>
  </si>
  <si>
    <t>TAL_SA</t>
  </si>
  <si>
    <t>HP</t>
  </si>
  <si>
    <t>HP_neutral</t>
  </si>
  <si>
    <t>HP_hexanol</t>
  </si>
  <si>
    <t>HP_neutral_hexanol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</si>
</sst>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52"/>
  <sheetViews>
    <sheetView tabSelected="1" workbookViewId="0">
      <selection activeCell="T20" sqref="T20"/>
    </sheetView>
  </sheetViews>
  <sheetFormatPr defaultRowHeight="14.5" x14ac:dyDescent="0.35"/>
  <sheetData>
    <row r="1" spans="1:16" s="4" customFormat="1" ht="58" x14ac:dyDescent="0.35">
      <c r="B1" s="5" t="s">
        <v>0</v>
      </c>
      <c r="C1" s="5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12</v>
      </c>
      <c r="O1" s="5" t="s">
        <v>13</v>
      </c>
      <c r="P1" s="5" t="s">
        <v>14</v>
      </c>
    </row>
    <row r="2" spans="1:16" x14ac:dyDescent="0.35">
      <c r="A2" s="1">
        <v>0</v>
      </c>
      <c r="B2" t="s">
        <v>15</v>
      </c>
      <c r="C2" s="2" t="s">
        <v>16</v>
      </c>
      <c r="D2" s="2">
        <v>-0.36991050364201461</v>
      </c>
      <c r="E2" s="2">
        <v>0.60276673106692424</v>
      </c>
      <c r="F2" s="2">
        <v>-0.29758861435445738</v>
      </c>
      <c r="G2" s="2">
        <v>-0.1031143004572018</v>
      </c>
      <c r="H2" s="2">
        <v>-1.0153096612386449E-2</v>
      </c>
      <c r="I2" s="2">
        <v>-9.4585338341353371E-3</v>
      </c>
      <c r="J2" s="2">
        <v>-8.0469537878151517E-2</v>
      </c>
      <c r="K2" s="2">
        <v>4.2749930999723997E-3</v>
      </c>
      <c r="L2" s="2">
        <v>-7.1558974235896938E-2</v>
      </c>
      <c r="M2" s="2">
        <v>-3.4713738854955421E-4</v>
      </c>
      <c r="N2" s="2">
        <v>8.3504014016056068E-3</v>
      </c>
      <c r="O2" s="2">
        <v>-0.13206820827283311</v>
      </c>
      <c r="P2" s="2">
        <v>-2.664029856119424E-2</v>
      </c>
    </row>
    <row r="3" spans="1:16" x14ac:dyDescent="0.35">
      <c r="A3" s="1">
        <v>1</v>
      </c>
      <c r="B3" t="s">
        <v>15</v>
      </c>
      <c r="C3" s="2" t="s">
        <v>17</v>
      </c>
      <c r="D3" s="2">
        <v>-0.32665935463741858</v>
      </c>
      <c r="E3" s="2">
        <v>0.3686491545966184</v>
      </c>
      <c r="F3" s="2">
        <v>-0.28778937515750058</v>
      </c>
      <c r="G3" s="2">
        <v>-0.47759173436693753</v>
      </c>
      <c r="H3" s="2">
        <v>-1.226088104352417E-2</v>
      </c>
      <c r="I3" s="2">
        <v>-2.78000792003168E-2</v>
      </c>
      <c r="J3" s="2">
        <v>-0.1029185556742227</v>
      </c>
      <c r="K3" s="2">
        <v>-2.3469885879543521E-2</v>
      </c>
      <c r="L3" s="2">
        <v>-8.0001248004992018E-2</v>
      </c>
      <c r="M3" s="2">
        <v>-1.035296941187765E-2</v>
      </c>
      <c r="N3" s="2">
        <v>4.2724970899883597E-3</v>
      </c>
      <c r="O3" s="2">
        <v>-0.23967244668978679</v>
      </c>
      <c r="P3" s="2">
        <v>-0.15890204360817439</v>
      </c>
    </row>
    <row r="4" spans="1:16" x14ac:dyDescent="0.35">
      <c r="A4" s="1">
        <v>2</v>
      </c>
      <c r="B4" t="s">
        <v>15</v>
      </c>
      <c r="C4" s="2" t="s">
        <v>18</v>
      </c>
      <c r="D4" s="2">
        <v>-0.38436288145152581</v>
      </c>
      <c r="E4" s="2">
        <v>0.29169947079788322</v>
      </c>
      <c r="F4" s="2">
        <v>-0.32550226200904803</v>
      </c>
      <c r="G4" s="2">
        <v>-0.1638324313297253</v>
      </c>
      <c r="H4" s="2">
        <v>-6.9775959103836414E-3</v>
      </c>
      <c r="I4" s="2">
        <v>2.691658766635067E-3</v>
      </c>
      <c r="J4" s="2">
        <v>-0.106184584738339</v>
      </c>
      <c r="K4" s="2">
        <v>-3.176979107916432E-2</v>
      </c>
      <c r="L4" s="2">
        <v>-8.6169944679778718E-2</v>
      </c>
      <c r="M4" s="2">
        <v>-1.301189204756819E-3</v>
      </c>
      <c r="N4" s="2">
        <v>2.2288025152100609E-2</v>
      </c>
      <c r="O4" s="2">
        <v>-0.36675833103332411</v>
      </c>
      <c r="P4" s="2">
        <v>-0.15894495577982309</v>
      </c>
    </row>
    <row r="5" spans="1:16" x14ac:dyDescent="0.35">
      <c r="A5" s="1">
        <v>3</v>
      </c>
      <c r="B5" t="s">
        <v>15</v>
      </c>
      <c r="C5" s="2" t="s">
        <v>19</v>
      </c>
      <c r="D5" s="2">
        <v>-0.43276473905895618</v>
      </c>
      <c r="E5" s="2">
        <v>0.21332024528098109</v>
      </c>
      <c r="F5" s="2">
        <v>-0.32809523238092952</v>
      </c>
      <c r="G5" s="2">
        <v>-0.12526542906171631</v>
      </c>
      <c r="H5" s="2">
        <v>-3.7802071208284829E-3</v>
      </c>
      <c r="I5" s="2">
        <v>-2.6895755583022329E-2</v>
      </c>
      <c r="J5" s="2">
        <v>-0.1140405841623366</v>
      </c>
      <c r="K5" s="2">
        <v>-9.5918783675134709E-3</v>
      </c>
      <c r="L5" s="2">
        <v>-8.186336745346981E-2</v>
      </c>
      <c r="M5" s="2">
        <v>1.7848487393949581E-2</v>
      </c>
      <c r="N5" s="2">
        <v>3.542250969003876E-2</v>
      </c>
      <c r="O5" s="2">
        <v>-0.23315488461953851</v>
      </c>
      <c r="P5" s="2">
        <v>-0.10897925191700771</v>
      </c>
    </row>
    <row r="6" spans="1:16" x14ac:dyDescent="0.35">
      <c r="A6" s="1">
        <v>4</v>
      </c>
      <c r="B6" t="s">
        <v>20</v>
      </c>
      <c r="C6" s="2" t="s">
        <v>16</v>
      </c>
      <c r="D6" s="2">
        <v>-0.38359497437989748</v>
      </c>
      <c r="E6" s="2">
        <v>0.63918294073176296</v>
      </c>
      <c r="F6" s="2">
        <v>-0.1052877491509966</v>
      </c>
      <c r="G6" s="2">
        <v>-9.7737222948891797E-2</v>
      </c>
      <c r="H6" s="2">
        <v>6.1558326233304927E-2</v>
      </c>
      <c r="I6" s="2">
        <v>-8.6613274453097813E-2</v>
      </c>
      <c r="J6" s="2">
        <v>5.6880131520526081E-2</v>
      </c>
      <c r="K6" s="2">
        <v>6.7902991611966446E-2</v>
      </c>
      <c r="L6" s="2">
        <v>2.265561062244249E-2</v>
      </c>
      <c r="M6" s="2">
        <v>-5.9414637658550631E-4</v>
      </c>
      <c r="N6" s="2">
        <v>3.5134316537266147E-2</v>
      </c>
      <c r="O6" s="2">
        <v>-0.10576736706946829</v>
      </c>
      <c r="P6" s="2">
        <v>-5.1142092568370268E-2</v>
      </c>
    </row>
    <row r="7" spans="1:16" x14ac:dyDescent="0.35">
      <c r="A7" s="1">
        <v>5</v>
      </c>
      <c r="B7" t="s">
        <v>20</v>
      </c>
      <c r="C7" s="2" t="s">
        <v>17</v>
      </c>
      <c r="D7" s="2">
        <v>-0.3669813399253597</v>
      </c>
      <c r="E7" s="2">
        <v>0.320062304249217</v>
      </c>
      <c r="F7" s="2">
        <v>-0.18302300409201641</v>
      </c>
      <c r="G7" s="2">
        <v>-0.49992199968799877</v>
      </c>
      <c r="H7" s="2">
        <v>4.9714854859419427E-2</v>
      </c>
      <c r="I7" s="2">
        <v>-7.7782295129180515E-2</v>
      </c>
      <c r="J7" s="2">
        <v>1.742925371701487E-2</v>
      </c>
      <c r="K7" s="2">
        <v>1.8545258181032729E-2</v>
      </c>
      <c r="L7" s="2">
        <v>-4.243639374557498E-2</v>
      </c>
      <c r="M7" s="2">
        <v>2.112757251029004E-2</v>
      </c>
      <c r="N7" s="2">
        <v>1.750048600194401E-2</v>
      </c>
      <c r="O7" s="2">
        <v>-0.16719887679550721</v>
      </c>
      <c r="P7" s="2">
        <v>-0.1221929367717471</v>
      </c>
    </row>
    <row r="8" spans="1:16" x14ac:dyDescent="0.35">
      <c r="A8" s="1">
        <v>6</v>
      </c>
      <c r="B8" t="s">
        <v>20</v>
      </c>
      <c r="C8" s="2" t="s">
        <v>18</v>
      </c>
      <c r="D8" s="2">
        <v>-0.40426433705734821</v>
      </c>
      <c r="E8" s="2">
        <v>0.29275307501230002</v>
      </c>
      <c r="F8" s="2">
        <v>-0.24150883803535211</v>
      </c>
      <c r="G8" s="2">
        <v>-0.15693355573422291</v>
      </c>
      <c r="H8" s="2">
        <v>5.5997023988095952E-2</v>
      </c>
      <c r="I8" s="2">
        <v>-7.4851115404461613E-2</v>
      </c>
      <c r="J8" s="2">
        <v>6.4507650030600119E-2</v>
      </c>
      <c r="K8" s="2">
        <v>-6.7057228228912906E-3</v>
      </c>
      <c r="L8" s="2">
        <v>-1.517026868107473E-2</v>
      </c>
      <c r="M8" s="2">
        <v>1.5194844779379119E-2</v>
      </c>
      <c r="N8" s="2">
        <v>-1.8824907299629198E-2</v>
      </c>
      <c r="O8" s="2">
        <v>-0.35577771111084439</v>
      </c>
      <c r="P8" s="2">
        <v>-0.16784419137676551</v>
      </c>
    </row>
    <row r="9" spans="1:16" x14ac:dyDescent="0.35">
      <c r="A9" s="1">
        <v>7</v>
      </c>
      <c r="B9" t="s">
        <v>20</v>
      </c>
      <c r="C9" s="2" t="s">
        <v>19</v>
      </c>
      <c r="D9" s="2">
        <v>-0.4727234588938356</v>
      </c>
      <c r="E9" s="2">
        <v>0.204560018240073</v>
      </c>
      <c r="F9" s="2">
        <v>-0.24561122244488981</v>
      </c>
      <c r="G9" s="2">
        <v>-0.122315529262117</v>
      </c>
      <c r="H9" s="2">
        <v>2.9836055344221381E-2</v>
      </c>
      <c r="I9" s="2">
        <v>-4.9285925143700567E-2</v>
      </c>
      <c r="J9" s="2">
        <v>4.72124128496514E-2</v>
      </c>
      <c r="K9" s="2">
        <v>3.9775071100284401E-2</v>
      </c>
      <c r="L9" s="2">
        <v>-3.0839643358573431E-2</v>
      </c>
      <c r="M9" s="2">
        <v>3.4487753951015797E-2</v>
      </c>
      <c r="N9" s="2">
        <v>-1.1033324133296529E-3</v>
      </c>
      <c r="O9" s="2">
        <v>-0.20818000072000289</v>
      </c>
      <c r="P9" s="2">
        <v>-0.13433420133680529</v>
      </c>
    </row>
    <row r="10" spans="1:16" x14ac:dyDescent="0.35">
      <c r="A10" s="1">
        <v>8</v>
      </c>
      <c r="B10" t="s">
        <v>21</v>
      </c>
      <c r="C10" s="2" t="s">
        <v>16</v>
      </c>
      <c r="D10" s="2">
        <v>-0.30163291853167412</v>
      </c>
      <c r="E10" s="2">
        <v>0.93395989583958339</v>
      </c>
      <c r="F10" s="2">
        <v>-0.1217562310249241</v>
      </c>
      <c r="G10" s="2">
        <v>-8.5125172500690002E-2</v>
      </c>
      <c r="H10" s="2">
        <v>2.9335893343573369E-2</v>
      </c>
      <c r="I10" s="2">
        <v>-3.4167112668450683E-2</v>
      </c>
      <c r="J10" s="2">
        <v>5.0968715874863499E-2</v>
      </c>
      <c r="K10" s="2">
        <v>6.3321085284341133E-2</v>
      </c>
      <c r="L10" s="2">
        <v>2.4276193104772421E-2</v>
      </c>
      <c r="M10" s="2">
        <v>-2.2037080148320589E-2</v>
      </c>
      <c r="N10" s="2">
        <v>2.5088932355729419E-2</v>
      </c>
      <c r="O10" s="2">
        <v>-5.5680222720890883E-2</v>
      </c>
      <c r="P10" s="2">
        <v>-5.0488137952551811E-2</v>
      </c>
    </row>
    <row r="11" spans="1:16" x14ac:dyDescent="0.35">
      <c r="A11" s="1">
        <v>9</v>
      </c>
      <c r="B11" t="s">
        <v>21</v>
      </c>
      <c r="C11" s="2" t="s">
        <v>17</v>
      </c>
      <c r="D11" s="2">
        <v>-0.20025430501722011</v>
      </c>
      <c r="E11" s="2">
        <v>0.48380363121452491</v>
      </c>
      <c r="F11" s="2">
        <v>-0.28228692114768461</v>
      </c>
      <c r="G11" s="2">
        <v>-0.64293962775851099</v>
      </c>
      <c r="H11" s="2">
        <v>1.0737450949803801E-2</v>
      </c>
      <c r="I11" s="2">
        <v>8.4803859215436869E-3</v>
      </c>
      <c r="J11" s="2">
        <v>9.197287989151956E-2</v>
      </c>
      <c r="K11" s="2">
        <v>-9.3035892143568579E-3</v>
      </c>
      <c r="L11" s="2">
        <v>6.737028548114192E-2</v>
      </c>
      <c r="M11" s="2">
        <v>-1.8297673190692759E-3</v>
      </c>
      <c r="N11" s="2">
        <v>2.4614114456457829E-2</v>
      </c>
      <c r="O11" s="2">
        <v>-0.17112318049272199</v>
      </c>
      <c r="P11" s="2">
        <v>-0.21318363673454691</v>
      </c>
    </row>
    <row r="12" spans="1:16" x14ac:dyDescent="0.35">
      <c r="A12" s="1">
        <v>10</v>
      </c>
      <c r="B12" t="s">
        <v>21</v>
      </c>
      <c r="C12" s="2" t="s">
        <v>18</v>
      </c>
      <c r="D12" s="2">
        <v>-0.34079809919239679</v>
      </c>
      <c r="E12" s="2">
        <v>0.41068839475357899</v>
      </c>
      <c r="F12" s="2">
        <v>-0.27520756483025932</v>
      </c>
      <c r="G12" s="2">
        <v>-0.2117105108420434</v>
      </c>
      <c r="H12" s="2">
        <v>5.4758619034476139E-2</v>
      </c>
      <c r="I12" s="2">
        <v>-2.3901023604094421E-2</v>
      </c>
      <c r="J12" s="2">
        <v>6.5788199152796614E-2</v>
      </c>
      <c r="K12" s="2">
        <v>-3.0721370885483539E-2</v>
      </c>
      <c r="L12" s="2">
        <v>1.38373993495974E-2</v>
      </c>
      <c r="M12" s="2">
        <v>2.7056652226608909E-2</v>
      </c>
      <c r="N12" s="2">
        <v>2.110050040200161E-2</v>
      </c>
      <c r="O12" s="2">
        <v>-0.48964035856143417</v>
      </c>
      <c r="P12" s="2">
        <v>-0.2931129804519218</v>
      </c>
    </row>
    <row r="13" spans="1:16" x14ac:dyDescent="0.35">
      <c r="A13" s="1">
        <v>11</v>
      </c>
      <c r="B13" t="s">
        <v>21</v>
      </c>
      <c r="C13" s="2" t="s">
        <v>19</v>
      </c>
      <c r="D13" s="2">
        <v>-0.54540112560450238</v>
      </c>
      <c r="E13" s="2">
        <v>0.47285056340225362</v>
      </c>
      <c r="F13" s="2">
        <v>-0.29694070776283099</v>
      </c>
      <c r="G13" s="2">
        <v>-0.20970055080220321</v>
      </c>
      <c r="H13" s="2">
        <v>-1.2609554438217751E-2</v>
      </c>
      <c r="I13" s="2">
        <v>-3.7619670478681907E-2</v>
      </c>
      <c r="J13" s="2">
        <v>4.2382153528614117E-2</v>
      </c>
      <c r="K13" s="2">
        <v>-1.939303757215029E-3</v>
      </c>
      <c r="L13" s="2">
        <v>3.3250213000852007E-2</v>
      </c>
      <c r="M13" s="2">
        <v>4.2143784575138302E-2</v>
      </c>
      <c r="N13" s="2">
        <v>1.4296569186276741E-2</v>
      </c>
      <c r="O13" s="2">
        <v>-0.26690785163140651</v>
      </c>
      <c r="P13" s="2">
        <v>-0.25908497233988942</v>
      </c>
    </row>
    <row r="14" spans="1:16" x14ac:dyDescent="0.35">
      <c r="A14" s="1">
        <v>12</v>
      </c>
      <c r="B14" t="s">
        <v>22</v>
      </c>
      <c r="C14" s="2" t="s">
        <v>16</v>
      </c>
      <c r="D14" s="2">
        <v>-0.29572489312232808</v>
      </c>
      <c r="E14" s="2">
        <v>0.94892972324308111</v>
      </c>
      <c r="F14" s="2">
        <v>-0.193182329558239</v>
      </c>
      <c r="G14" s="2">
        <v>-9.3792844821120533E-2</v>
      </c>
      <c r="H14" s="2">
        <v>-0.1063886597164929</v>
      </c>
      <c r="I14" s="2">
        <v>0.11146028650716271</v>
      </c>
      <c r="J14" s="2">
        <v>5.7796444911122777E-2</v>
      </c>
      <c r="K14" s="2">
        <v>-2.9370734268356711E-2</v>
      </c>
      <c r="L14" s="2">
        <v>1.6569414235355889E-2</v>
      </c>
      <c r="M14" s="2">
        <v>8.7497187429685735E-2</v>
      </c>
      <c r="N14" s="2">
        <v>-6.3583589589739739E-2</v>
      </c>
      <c r="O14" s="2">
        <v>-5.4292357308932733E-2</v>
      </c>
      <c r="P14" s="2">
        <v>4.9906247656191401E-3</v>
      </c>
    </row>
    <row r="15" spans="1:16" x14ac:dyDescent="0.35">
      <c r="A15" s="1">
        <v>13</v>
      </c>
      <c r="B15" t="s">
        <v>22</v>
      </c>
      <c r="C15" s="2" t="s">
        <v>17</v>
      </c>
      <c r="D15" s="2">
        <v>-0.1547318682967074</v>
      </c>
      <c r="E15" s="2">
        <v>0.54409510237755943</v>
      </c>
      <c r="F15" s="2">
        <v>-0.20505062626565659</v>
      </c>
      <c r="G15" s="2">
        <v>-0.63680492012300305</v>
      </c>
      <c r="H15" s="2">
        <v>3.4727368184204598E-2</v>
      </c>
      <c r="I15" s="2">
        <v>9.5747393684842128E-2</v>
      </c>
      <c r="J15" s="2">
        <v>4.8446711167779197E-2</v>
      </c>
      <c r="K15" s="2">
        <v>-3.7439435985899647E-2</v>
      </c>
      <c r="L15" s="2">
        <v>4.5194629865746641E-2</v>
      </c>
      <c r="M15" s="2">
        <v>0.101272031800795</v>
      </c>
      <c r="N15" s="2">
        <v>-1.941798544963624E-2</v>
      </c>
      <c r="O15" s="2">
        <v>-0.2122088052201305</v>
      </c>
      <c r="P15" s="2">
        <v>-0.197094427360684</v>
      </c>
    </row>
    <row r="16" spans="1:16" x14ac:dyDescent="0.35">
      <c r="A16" s="1">
        <v>14</v>
      </c>
      <c r="B16" t="s">
        <v>22</v>
      </c>
      <c r="C16" s="2" t="s">
        <v>18</v>
      </c>
      <c r="D16" s="2">
        <v>-0.26636615915397888</v>
      </c>
      <c r="E16" s="2">
        <v>0.46635265881647042</v>
      </c>
      <c r="F16" s="2">
        <v>-0.20850821270531761</v>
      </c>
      <c r="G16" s="2">
        <v>-0.2049081227030676</v>
      </c>
      <c r="H16" s="2">
        <v>-4.3019575489387243E-2</v>
      </c>
      <c r="I16" s="2">
        <v>7.097727443186079E-2</v>
      </c>
      <c r="J16" s="2">
        <v>3.1158778969474239E-2</v>
      </c>
      <c r="K16" s="2">
        <v>-5.7434935873396827E-2</v>
      </c>
      <c r="L16" s="2">
        <v>5.987399684992125E-2</v>
      </c>
      <c r="M16" s="2">
        <v>9.3044326108152706E-2</v>
      </c>
      <c r="N16" s="2">
        <v>-8.4755118877971949E-2</v>
      </c>
      <c r="O16" s="2">
        <v>-0.52842721068026699</v>
      </c>
      <c r="P16" s="2">
        <v>-0.22997524938123451</v>
      </c>
    </row>
    <row r="17" spans="1:16" x14ac:dyDescent="0.35">
      <c r="A17" s="1">
        <v>15</v>
      </c>
      <c r="B17" t="s">
        <v>22</v>
      </c>
      <c r="C17" s="2" t="s">
        <v>19</v>
      </c>
      <c r="D17" s="2">
        <v>-0.52376659416485416</v>
      </c>
      <c r="E17" s="2">
        <v>0.54494862371559294</v>
      </c>
      <c r="F17" s="2">
        <v>-0.2524053101327533</v>
      </c>
      <c r="G17" s="2">
        <v>-0.1910732768319208</v>
      </c>
      <c r="H17" s="2">
        <v>-0.15675241881047031</v>
      </c>
      <c r="I17" s="2">
        <v>5.291382284557114E-2</v>
      </c>
      <c r="J17" s="2">
        <v>-1.7274431860796521E-2</v>
      </c>
      <c r="K17" s="2">
        <v>-3.2255306382659568E-2</v>
      </c>
      <c r="L17" s="2">
        <v>6.2506562664066595E-2</v>
      </c>
      <c r="M17" s="2">
        <v>9.5025875646891175E-2</v>
      </c>
      <c r="N17" s="2">
        <v>-0.1001785044626116</v>
      </c>
      <c r="O17" s="2">
        <v>-0.27507087677191933</v>
      </c>
      <c r="P17" s="2">
        <v>-0.16661066526663171</v>
      </c>
    </row>
    <row r="18" spans="1:16" x14ac:dyDescent="0.35">
      <c r="A18" s="1">
        <v>16</v>
      </c>
      <c r="B18" t="s">
        <v>23</v>
      </c>
      <c r="C18" s="2" t="s">
        <v>16</v>
      </c>
      <c r="D18" s="2">
        <v>-0.29969572678290712</v>
      </c>
      <c r="E18" s="2">
        <v>0.9390207480829923</v>
      </c>
      <c r="F18" s="2">
        <v>-0.11587236748947</v>
      </c>
      <c r="G18" s="2">
        <v>-7.6599954399817594E-2</v>
      </c>
      <c r="H18" s="2">
        <v>2.927253309013236E-2</v>
      </c>
      <c r="I18" s="2">
        <v>-3.5059148236592938E-2</v>
      </c>
      <c r="J18" s="2">
        <v>5.1499885999543998E-2</v>
      </c>
      <c r="K18" s="2">
        <v>6.5428581714326861E-2</v>
      </c>
      <c r="L18" s="2">
        <v>2.455747422989692E-2</v>
      </c>
      <c r="M18" s="2">
        <v>-2.6230760923043689E-2</v>
      </c>
      <c r="N18" s="2">
        <v>2.2352441409765639E-2</v>
      </c>
      <c r="O18" s="2">
        <v>-5.1528398113592451E-2</v>
      </c>
      <c r="P18" s="2">
        <v>-3.6692978771915088E-2</v>
      </c>
    </row>
    <row r="19" spans="1:16" x14ac:dyDescent="0.35">
      <c r="A19" s="1">
        <v>17</v>
      </c>
      <c r="B19" t="s">
        <v>23</v>
      </c>
      <c r="C19" s="2" t="s">
        <v>17</v>
      </c>
      <c r="D19" s="2">
        <v>-0.21896525986103951</v>
      </c>
      <c r="E19" s="2">
        <v>0.5259557678230713</v>
      </c>
      <c r="F19" s="2">
        <v>-0.27426724106896427</v>
      </c>
      <c r="G19" s="2">
        <v>-0.59057641030564123</v>
      </c>
      <c r="H19" s="2">
        <v>1.395048780195121E-2</v>
      </c>
      <c r="I19" s="2">
        <v>6.5147780591122374E-3</v>
      </c>
      <c r="J19" s="2">
        <v>9.4076728306913229E-2</v>
      </c>
      <c r="K19" s="2">
        <v>-6.297145188580754E-3</v>
      </c>
      <c r="L19" s="2">
        <v>5.7623846495385982E-2</v>
      </c>
      <c r="M19" s="2">
        <v>-3.0995643982575931E-3</v>
      </c>
      <c r="N19" s="2">
        <v>2.90309961239845E-2</v>
      </c>
      <c r="O19" s="2">
        <v>-0.20658293833175331</v>
      </c>
      <c r="P19" s="2">
        <v>-0.22751774207096831</v>
      </c>
    </row>
    <row r="20" spans="1:16" x14ac:dyDescent="0.35">
      <c r="A20" s="1">
        <v>18</v>
      </c>
      <c r="B20" t="s">
        <v>23</v>
      </c>
      <c r="C20" s="2" t="s">
        <v>18</v>
      </c>
      <c r="D20" s="2">
        <v>-0.50303030303030305</v>
      </c>
      <c r="E20" s="2">
        <v>0.50303030303030305</v>
      </c>
      <c r="F20" s="2">
        <v>-0.32121212121212123</v>
      </c>
      <c r="G20" s="2">
        <v>-0.5636363636363636</v>
      </c>
      <c r="H20" s="2">
        <v>0.32121212121212123</v>
      </c>
      <c r="I20" s="2">
        <v>-0.3575757575757576</v>
      </c>
      <c r="J20" s="2">
        <v>-0.1393939393939394</v>
      </c>
      <c r="K20" s="2">
        <v>-0.63636363636363635</v>
      </c>
      <c r="L20" s="2">
        <v>-6.0606060606060606E-3</v>
      </c>
      <c r="M20" s="2">
        <v>-0.17575757575757581</v>
      </c>
      <c r="N20" s="2">
        <v>0.49090909090909091</v>
      </c>
      <c r="O20" s="2">
        <v>-0.62424242424242427</v>
      </c>
      <c r="P20" s="2">
        <v>-0.29696969696969699</v>
      </c>
    </row>
    <row r="21" spans="1:16" x14ac:dyDescent="0.35">
      <c r="A21" s="1">
        <v>19</v>
      </c>
      <c r="B21" t="s">
        <v>23</v>
      </c>
      <c r="C21" s="2" t="s">
        <v>19</v>
      </c>
      <c r="D21" s="2">
        <v>-0.36612712850851398</v>
      </c>
      <c r="E21" s="2">
        <v>0.51700728402913609</v>
      </c>
      <c r="F21" s="2">
        <v>-0.28771862287449151</v>
      </c>
      <c r="G21" s="2">
        <v>-0.20203434413737659</v>
      </c>
      <c r="H21" s="2">
        <v>9.2224016896067587E-2</v>
      </c>
      <c r="I21" s="2">
        <v>-1.701587606350425E-2</v>
      </c>
      <c r="J21" s="2">
        <v>7.5374893499573992E-2</v>
      </c>
      <c r="K21" s="2">
        <v>5.7444037776151112E-2</v>
      </c>
      <c r="L21" s="2">
        <v>3.5686702746810989E-2</v>
      </c>
      <c r="M21" s="2">
        <v>1.8159144636578549E-2</v>
      </c>
      <c r="N21" s="2">
        <v>1.8051048204192819E-2</v>
      </c>
      <c r="O21" s="2">
        <v>-0.1951570686282745</v>
      </c>
      <c r="P21" s="2">
        <v>-0.1032949731798927</v>
      </c>
    </row>
    <row r="22" spans="1:16" x14ac:dyDescent="0.35">
      <c r="A22" s="1">
        <v>20</v>
      </c>
      <c r="B22" t="s">
        <v>24</v>
      </c>
      <c r="C22" s="2" t="s">
        <v>16</v>
      </c>
      <c r="D22" s="2">
        <v>-0.30027150678766967</v>
      </c>
      <c r="E22" s="2">
        <v>0.94948623715592895</v>
      </c>
      <c r="F22" s="2">
        <v>-0.1917632940823521</v>
      </c>
      <c r="G22" s="2">
        <v>-8.8082202055051378E-2</v>
      </c>
      <c r="H22" s="2">
        <v>-0.1091667291682292</v>
      </c>
      <c r="I22" s="2">
        <v>0.1080642016050401</v>
      </c>
      <c r="J22" s="2">
        <v>5.7574439360984032E-2</v>
      </c>
      <c r="K22" s="2">
        <v>-2.849771244281107E-2</v>
      </c>
      <c r="L22" s="2">
        <v>1.6156903922598061E-2</v>
      </c>
      <c r="M22" s="2">
        <v>9.4547363684092098E-2</v>
      </c>
      <c r="N22" s="2">
        <v>-6.7887197179929498E-2</v>
      </c>
      <c r="O22" s="2">
        <v>-6.136203405085127E-2</v>
      </c>
      <c r="P22" s="2">
        <v>1.5325883147078679E-2</v>
      </c>
    </row>
    <row r="23" spans="1:16" x14ac:dyDescent="0.35">
      <c r="A23" s="1">
        <v>21</v>
      </c>
      <c r="B23" t="s">
        <v>24</v>
      </c>
      <c r="C23" s="2" t="s">
        <v>17</v>
      </c>
      <c r="D23" s="2">
        <v>-0.19888247206180151</v>
      </c>
      <c r="E23" s="2">
        <v>0.56596714917872948</v>
      </c>
      <c r="F23" s="2">
        <v>-0.21203630090752271</v>
      </c>
      <c r="G23" s="2">
        <v>-0.55308332708317709</v>
      </c>
      <c r="H23" s="2">
        <v>-5.3824345608640217E-2</v>
      </c>
      <c r="I23" s="2">
        <v>0.1093047326183155</v>
      </c>
      <c r="J23" s="2">
        <v>4.7110177754443858E-2</v>
      </c>
      <c r="K23" s="2">
        <v>1.8451961299032479E-2</v>
      </c>
      <c r="L23" s="2">
        <v>4.3610590264756617E-2</v>
      </c>
      <c r="M23" s="2">
        <v>6.0565514137853438E-2</v>
      </c>
      <c r="N23" s="2">
        <v>-2.3276081902047548E-2</v>
      </c>
      <c r="O23" s="2">
        <v>-0.20657316432910819</v>
      </c>
      <c r="P23" s="2">
        <v>-9.9380484512112802E-2</v>
      </c>
    </row>
    <row r="24" spans="1:16" x14ac:dyDescent="0.35">
      <c r="A24" s="1">
        <v>22</v>
      </c>
      <c r="B24" t="s">
        <v>24</v>
      </c>
      <c r="C24" s="2" t="s">
        <v>18</v>
      </c>
      <c r="D24" s="2">
        <v>-0.24521863046576159</v>
      </c>
      <c r="E24" s="2">
        <v>0.33119477986949669</v>
      </c>
      <c r="F24" s="2">
        <v>-0.19337883447086179</v>
      </c>
      <c r="G24" s="2">
        <v>-0.1177094427360684</v>
      </c>
      <c r="H24" s="2">
        <v>0.1074086852171304</v>
      </c>
      <c r="I24" s="2">
        <v>1.650041251031276E-2</v>
      </c>
      <c r="J24" s="2">
        <v>2.3334583364584119E-2</v>
      </c>
      <c r="K24" s="2">
        <v>-4.9621240531013272E-3</v>
      </c>
      <c r="L24" s="2">
        <v>2.2517062926573159E-2</v>
      </c>
      <c r="M24" s="2">
        <v>2.4752118802970079E-2</v>
      </c>
      <c r="N24" s="2">
        <v>-7.9699992499812494E-2</v>
      </c>
      <c r="O24" s="2">
        <v>-0.35462236555913901</v>
      </c>
      <c r="P24" s="2">
        <v>-0.10429910747768691</v>
      </c>
    </row>
    <row r="25" spans="1:16" x14ac:dyDescent="0.35">
      <c r="A25" s="1">
        <v>23</v>
      </c>
      <c r="B25" t="s">
        <v>24</v>
      </c>
      <c r="C25" s="2" t="s">
        <v>19</v>
      </c>
      <c r="D25" s="2">
        <v>-0.54670066751668789</v>
      </c>
      <c r="E25" s="2">
        <v>0.52109952748818722</v>
      </c>
      <c r="F25" s="2">
        <v>-0.23276081902047549</v>
      </c>
      <c r="G25" s="2">
        <v>-0.16810920273006821</v>
      </c>
      <c r="H25" s="2">
        <v>-0.15579839495987399</v>
      </c>
      <c r="I25" s="2">
        <v>3.4095852396309898E-2</v>
      </c>
      <c r="J25" s="2">
        <v>3.0701267531688291E-2</v>
      </c>
      <c r="K25" s="2">
        <v>-5.1712292807320183E-2</v>
      </c>
      <c r="L25" s="2">
        <v>9.3930848271206777E-2</v>
      </c>
      <c r="M25" s="2">
        <v>7.5741393534838372E-2</v>
      </c>
      <c r="N25" s="2">
        <v>-0.10231755793894851</v>
      </c>
      <c r="O25" s="2">
        <v>-0.26044401110027748</v>
      </c>
      <c r="P25" s="2">
        <v>-0.17022575564389111</v>
      </c>
    </row>
    <row r="27" spans="1:16" x14ac:dyDescent="0.35">
      <c r="D27" s="3">
        <f>SUM(D29:D52)</f>
        <v>24</v>
      </c>
      <c r="E27" s="3">
        <f t="shared" ref="E27:P27" si="0">SUM(E29:E52)</f>
        <v>24</v>
      </c>
      <c r="F27" s="3">
        <f t="shared" si="0"/>
        <v>24</v>
      </c>
      <c r="G27" s="3">
        <f t="shared" si="0"/>
        <v>19</v>
      </c>
      <c r="H27" s="3">
        <f t="shared" si="0"/>
        <v>6</v>
      </c>
      <c r="I27" s="3">
        <f t="shared" si="0"/>
        <v>4</v>
      </c>
      <c r="J27" s="3">
        <f t="shared" si="0"/>
        <v>4</v>
      </c>
      <c r="K27" s="3">
        <f t="shared" si="0"/>
        <v>1</v>
      </c>
      <c r="L27" s="3">
        <f t="shared" si="0"/>
        <v>0</v>
      </c>
      <c r="M27" s="3">
        <f t="shared" si="0"/>
        <v>2</v>
      </c>
      <c r="N27" s="3">
        <f t="shared" si="0"/>
        <v>3</v>
      </c>
      <c r="O27" s="3">
        <f t="shared" si="0"/>
        <v>20</v>
      </c>
      <c r="P27" s="3">
        <f t="shared" si="0"/>
        <v>17</v>
      </c>
    </row>
    <row r="29" spans="1:16" x14ac:dyDescent="0.35">
      <c r="D29" s="3">
        <f>IF(ABS(D2)&gt;0.1, 1, 0)</f>
        <v>1</v>
      </c>
      <c r="E29" s="3">
        <f t="shared" ref="E29:P29" si="1">IF(ABS(E2)&gt;0.1, 1, 0)</f>
        <v>1</v>
      </c>
      <c r="F29" s="3">
        <f t="shared" si="1"/>
        <v>1</v>
      </c>
      <c r="G29" s="3">
        <f t="shared" si="1"/>
        <v>1</v>
      </c>
      <c r="H29" s="3">
        <f t="shared" si="1"/>
        <v>0</v>
      </c>
      <c r="I29" s="3">
        <f t="shared" si="1"/>
        <v>0</v>
      </c>
      <c r="J29" s="3">
        <f t="shared" si="1"/>
        <v>0</v>
      </c>
      <c r="K29" s="3">
        <f t="shared" si="1"/>
        <v>0</v>
      </c>
      <c r="L29" s="3">
        <f t="shared" si="1"/>
        <v>0</v>
      </c>
      <c r="M29" s="3">
        <f t="shared" si="1"/>
        <v>0</v>
      </c>
      <c r="N29" s="3">
        <f t="shared" si="1"/>
        <v>0</v>
      </c>
      <c r="O29" s="3">
        <f t="shared" si="1"/>
        <v>1</v>
      </c>
      <c r="P29" s="3">
        <f t="shared" si="1"/>
        <v>0</v>
      </c>
    </row>
    <row r="30" spans="1:16" x14ac:dyDescent="0.35">
      <c r="D30" s="3">
        <f t="shared" ref="D30:P45" si="2">IF(ABS(D3)&gt;0.1, 1, 0)</f>
        <v>1</v>
      </c>
      <c r="E30" s="3">
        <f t="shared" si="2"/>
        <v>1</v>
      </c>
      <c r="F30" s="3">
        <f t="shared" si="2"/>
        <v>1</v>
      </c>
      <c r="G30" s="3">
        <f t="shared" si="2"/>
        <v>1</v>
      </c>
      <c r="H30" s="3">
        <f t="shared" si="2"/>
        <v>0</v>
      </c>
      <c r="I30" s="3">
        <f t="shared" si="2"/>
        <v>0</v>
      </c>
      <c r="J30" s="3">
        <f t="shared" si="2"/>
        <v>1</v>
      </c>
      <c r="K30" s="3">
        <f t="shared" si="2"/>
        <v>0</v>
      </c>
      <c r="L30" s="3">
        <f t="shared" si="2"/>
        <v>0</v>
      </c>
      <c r="M30" s="3">
        <f t="shared" si="2"/>
        <v>0</v>
      </c>
      <c r="N30" s="3">
        <f t="shared" si="2"/>
        <v>0</v>
      </c>
      <c r="O30" s="3">
        <f t="shared" si="2"/>
        <v>1</v>
      </c>
      <c r="P30" s="3">
        <f t="shared" si="2"/>
        <v>1</v>
      </c>
    </row>
    <row r="31" spans="1:16" x14ac:dyDescent="0.35">
      <c r="D31" s="3">
        <f t="shared" si="2"/>
        <v>1</v>
      </c>
      <c r="E31" s="3">
        <f t="shared" si="2"/>
        <v>1</v>
      </c>
      <c r="F31" s="3">
        <f t="shared" si="2"/>
        <v>1</v>
      </c>
      <c r="G31" s="3">
        <f t="shared" si="2"/>
        <v>1</v>
      </c>
      <c r="H31" s="3">
        <f t="shared" si="2"/>
        <v>0</v>
      </c>
      <c r="I31" s="3">
        <f t="shared" si="2"/>
        <v>0</v>
      </c>
      <c r="J31" s="3">
        <f t="shared" si="2"/>
        <v>1</v>
      </c>
      <c r="K31" s="3">
        <f t="shared" si="2"/>
        <v>0</v>
      </c>
      <c r="L31" s="3">
        <f t="shared" si="2"/>
        <v>0</v>
      </c>
      <c r="M31" s="3">
        <f t="shared" si="2"/>
        <v>0</v>
      </c>
      <c r="N31" s="3">
        <f t="shared" si="2"/>
        <v>0</v>
      </c>
      <c r="O31" s="3">
        <f t="shared" si="2"/>
        <v>1</v>
      </c>
      <c r="P31" s="3">
        <f t="shared" si="2"/>
        <v>1</v>
      </c>
    </row>
    <row r="32" spans="1:16" x14ac:dyDescent="0.35">
      <c r="D32" s="3">
        <f t="shared" si="2"/>
        <v>1</v>
      </c>
      <c r="E32" s="3">
        <f t="shared" si="2"/>
        <v>1</v>
      </c>
      <c r="F32" s="3">
        <f t="shared" si="2"/>
        <v>1</v>
      </c>
      <c r="G32" s="3">
        <f t="shared" si="2"/>
        <v>1</v>
      </c>
      <c r="H32" s="3">
        <f t="shared" si="2"/>
        <v>0</v>
      </c>
      <c r="I32" s="3">
        <f t="shared" si="2"/>
        <v>0</v>
      </c>
      <c r="J32" s="3">
        <f t="shared" si="2"/>
        <v>1</v>
      </c>
      <c r="K32" s="3">
        <f t="shared" si="2"/>
        <v>0</v>
      </c>
      <c r="L32" s="3">
        <f t="shared" si="2"/>
        <v>0</v>
      </c>
      <c r="M32" s="3">
        <f t="shared" si="2"/>
        <v>0</v>
      </c>
      <c r="N32" s="3">
        <f t="shared" si="2"/>
        <v>0</v>
      </c>
      <c r="O32" s="3">
        <f t="shared" si="2"/>
        <v>1</v>
      </c>
      <c r="P32" s="3">
        <f t="shared" si="2"/>
        <v>1</v>
      </c>
    </row>
    <row r="33" spans="4:16" x14ac:dyDescent="0.35">
      <c r="D33" s="3">
        <f t="shared" si="2"/>
        <v>1</v>
      </c>
      <c r="E33" s="3">
        <f t="shared" si="2"/>
        <v>1</v>
      </c>
      <c r="F33" s="3">
        <f t="shared" si="2"/>
        <v>1</v>
      </c>
      <c r="G33" s="3">
        <f t="shared" si="2"/>
        <v>0</v>
      </c>
      <c r="H33" s="3">
        <f t="shared" si="2"/>
        <v>0</v>
      </c>
      <c r="I33" s="3">
        <f t="shared" si="2"/>
        <v>0</v>
      </c>
      <c r="J33" s="3">
        <f t="shared" si="2"/>
        <v>0</v>
      </c>
      <c r="K33" s="3">
        <f t="shared" si="2"/>
        <v>0</v>
      </c>
      <c r="L33" s="3">
        <f t="shared" si="2"/>
        <v>0</v>
      </c>
      <c r="M33" s="3">
        <f t="shared" si="2"/>
        <v>0</v>
      </c>
      <c r="N33" s="3">
        <f t="shared" si="2"/>
        <v>0</v>
      </c>
      <c r="O33" s="3">
        <f t="shared" si="2"/>
        <v>1</v>
      </c>
      <c r="P33" s="3">
        <f t="shared" si="2"/>
        <v>0</v>
      </c>
    </row>
    <row r="34" spans="4:16" x14ac:dyDescent="0.35">
      <c r="D34" s="3">
        <f>IF(ABS(D7)&gt;0.1, 1, 0)</f>
        <v>1</v>
      </c>
      <c r="E34" s="3">
        <f t="shared" si="2"/>
        <v>1</v>
      </c>
      <c r="F34" s="3">
        <f t="shared" si="2"/>
        <v>1</v>
      </c>
      <c r="G34" s="3">
        <f t="shared" si="2"/>
        <v>1</v>
      </c>
      <c r="H34" s="3">
        <f t="shared" si="2"/>
        <v>0</v>
      </c>
      <c r="I34" s="3">
        <f t="shared" si="2"/>
        <v>0</v>
      </c>
      <c r="J34" s="3">
        <f t="shared" si="2"/>
        <v>0</v>
      </c>
      <c r="K34" s="3">
        <f t="shared" si="2"/>
        <v>0</v>
      </c>
      <c r="L34" s="3">
        <f t="shared" si="2"/>
        <v>0</v>
      </c>
      <c r="M34" s="3">
        <f t="shared" si="2"/>
        <v>0</v>
      </c>
      <c r="N34" s="3">
        <f t="shared" si="2"/>
        <v>0</v>
      </c>
      <c r="O34" s="3">
        <f t="shared" si="2"/>
        <v>1</v>
      </c>
      <c r="P34" s="3">
        <f t="shared" si="2"/>
        <v>1</v>
      </c>
    </row>
    <row r="35" spans="4:16" x14ac:dyDescent="0.35">
      <c r="D35" s="3">
        <f t="shared" si="2"/>
        <v>1</v>
      </c>
      <c r="E35" s="3">
        <f t="shared" si="2"/>
        <v>1</v>
      </c>
      <c r="F35" s="3">
        <f t="shared" si="2"/>
        <v>1</v>
      </c>
      <c r="G35" s="3">
        <f t="shared" si="2"/>
        <v>1</v>
      </c>
      <c r="H35" s="3">
        <f t="shared" si="2"/>
        <v>0</v>
      </c>
      <c r="I35" s="3">
        <f t="shared" si="2"/>
        <v>0</v>
      </c>
      <c r="J35" s="3">
        <f t="shared" si="2"/>
        <v>0</v>
      </c>
      <c r="K35" s="3">
        <f t="shared" si="2"/>
        <v>0</v>
      </c>
      <c r="L35" s="3">
        <f t="shared" si="2"/>
        <v>0</v>
      </c>
      <c r="M35" s="3">
        <f t="shared" si="2"/>
        <v>0</v>
      </c>
      <c r="N35" s="3">
        <f t="shared" si="2"/>
        <v>0</v>
      </c>
      <c r="O35" s="3">
        <f t="shared" si="2"/>
        <v>1</v>
      </c>
      <c r="P35" s="3">
        <f t="shared" si="2"/>
        <v>1</v>
      </c>
    </row>
    <row r="36" spans="4:16" x14ac:dyDescent="0.35">
      <c r="D36" s="3">
        <f t="shared" si="2"/>
        <v>1</v>
      </c>
      <c r="E36" s="3">
        <f t="shared" si="2"/>
        <v>1</v>
      </c>
      <c r="F36" s="3">
        <f t="shared" si="2"/>
        <v>1</v>
      </c>
      <c r="G36" s="3">
        <f t="shared" si="2"/>
        <v>1</v>
      </c>
      <c r="H36" s="3">
        <f t="shared" si="2"/>
        <v>0</v>
      </c>
      <c r="I36" s="3">
        <f t="shared" si="2"/>
        <v>0</v>
      </c>
      <c r="J36" s="3">
        <f t="shared" si="2"/>
        <v>0</v>
      </c>
      <c r="K36" s="3">
        <f t="shared" si="2"/>
        <v>0</v>
      </c>
      <c r="L36" s="3">
        <f t="shared" si="2"/>
        <v>0</v>
      </c>
      <c r="M36" s="3">
        <f t="shared" si="2"/>
        <v>0</v>
      </c>
      <c r="N36" s="3">
        <f t="shared" si="2"/>
        <v>0</v>
      </c>
      <c r="O36" s="3">
        <f t="shared" si="2"/>
        <v>1</v>
      </c>
      <c r="P36" s="3">
        <f t="shared" si="2"/>
        <v>1</v>
      </c>
    </row>
    <row r="37" spans="4:16" x14ac:dyDescent="0.35">
      <c r="D37" s="3">
        <f t="shared" si="2"/>
        <v>1</v>
      </c>
      <c r="E37" s="3">
        <f t="shared" si="2"/>
        <v>1</v>
      </c>
      <c r="F37" s="3">
        <f t="shared" si="2"/>
        <v>1</v>
      </c>
      <c r="G37" s="3">
        <f t="shared" si="2"/>
        <v>0</v>
      </c>
      <c r="H37" s="3">
        <f t="shared" si="2"/>
        <v>0</v>
      </c>
      <c r="I37" s="3">
        <f t="shared" si="2"/>
        <v>0</v>
      </c>
      <c r="J37" s="3">
        <f t="shared" si="2"/>
        <v>0</v>
      </c>
      <c r="K37" s="3">
        <f t="shared" si="2"/>
        <v>0</v>
      </c>
      <c r="L37" s="3">
        <f t="shared" si="2"/>
        <v>0</v>
      </c>
      <c r="M37" s="3">
        <f t="shared" si="2"/>
        <v>0</v>
      </c>
      <c r="N37" s="3">
        <f t="shared" si="2"/>
        <v>0</v>
      </c>
      <c r="O37" s="3">
        <f t="shared" si="2"/>
        <v>0</v>
      </c>
      <c r="P37" s="3">
        <f t="shared" si="2"/>
        <v>0</v>
      </c>
    </row>
    <row r="38" spans="4:16" x14ac:dyDescent="0.35">
      <c r="D38" s="3">
        <f t="shared" si="2"/>
        <v>1</v>
      </c>
      <c r="E38" s="3">
        <f t="shared" si="2"/>
        <v>1</v>
      </c>
      <c r="F38" s="3">
        <f t="shared" si="2"/>
        <v>1</v>
      </c>
      <c r="G38" s="3">
        <f t="shared" si="2"/>
        <v>1</v>
      </c>
      <c r="H38" s="3">
        <f t="shared" si="2"/>
        <v>0</v>
      </c>
      <c r="I38" s="3">
        <f t="shared" si="2"/>
        <v>0</v>
      </c>
      <c r="J38" s="3">
        <f t="shared" si="2"/>
        <v>0</v>
      </c>
      <c r="K38" s="3">
        <f t="shared" si="2"/>
        <v>0</v>
      </c>
      <c r="L38" s="3">
        <f t="shared" si="2"/>
        <v>0</v>
      </c>
      <c r="M38" s="3">
        <f t="shared" si="2"/>
        <v>0</v>
      </c>
      <c r="N38" s="3">
        <f t="shared" si="2"/>
        <v>0</v>
      </c>
      <c r="O38" s="3">
        <f t="shared" si="2"/>
        <v>1</v>
      </c>
      <c r="P38" s="3">
        <f t="shared" si="2"/>
        <v>1</v>
      </c>
    </row>
    <row r="39" spans="4:16" x14ac:dyDescent="0.35">
      <c r="D39" s="3">
        <f t="shared" si="2"/>
        <v>1</v>
      </c>
      <c r="E39" s="3">
        <f t="shared" si="2"/>
        <v>1</v>
      </c>
      <c r="F39" s="3">
        <f t="shared" si="2"/>
        <v>1</v>
      </c>
      <c r="G39" s="3">
        <f t="shared" si="2"/>
        <v>1</v>
      </c>
      <c r="H39" s="3">
        <f t="shared" si="2"/>
        <v>0</v>
      </c>
      <c r="I39" s="3">
        <f t="shared" si="2"/>
        <v>0</v>
      </c>
      <c r="J39" s="3">
        <f t="shared" si="2"/>
        <v>0</v>
      </c>
      <c r="K39" s="3">
        <f t="shared" si="2"/>
        <v>0</v>
      </c>
      <c r="L39" s="3">
        <f t="shared" si="2"/>
        <v>0</v>
      </c>
      <c r="M39" s="3">
        <f t="shared" si="2"/>
        <v>0</v>
      </c>
      <c r="N39" s="3">
        <f t="shared" si="2"/>
        <v>0</v>
      </c>
      <c r="O39" s="3">
        <f t="shared" si="2"/>
        <v>1</v>
      </c>
      <c r="P39" s="3">
        <f t="shared" si="2"/>
        <v>1</v>
      </c>
    </row>
    <row r="40" spans="4:16" x14ac:dyDescent="0.35">
      <c r="D40" s="3">
        <f t="shared" si="2"/>
        <v>1</v>
      </c>
      <c r="E40" s="3">
        <f t="shared" si="2"/>
        <v>1</v>
      </c>
      <c r="F40" s="3">
        <f t="shared" si="2"/>
        <v>1</v>
      </c>
      <c r="G40" s="3">
        <f t="shared" si="2"/>
        <v>1</v>
      </c>
      <c r="H40" s="3">
        <f t="shared" si="2"/>
        <v>0</v>
      </c>
      <c r="I40" s="3">
        <f t="shared" si="2"/>
        <v>0</v>
      </c>
      <c r="J40" s="3">
        <f t="shared" si="2"/>
        <v>0</v>
      </c>
      <c r="K40" s="3">
        <f t="shared" si="2"/>
        <v>0</v>
      </c>
      <c r="L40" s="3">
        <f t="shared" si="2"/>
        <v>0</v>
      </c>
      <c r="M40" s="3">
        <f t="shared" si="2"/>
        <v>0</v>
      </c>
      <c r="N40" s="3">
        <f t="shared" si="2"/>
        <v>0</v>
      </c>
      <c r="O40" s="3">
        <f t="shared" si="2"/>
        <v>1</v>
      </c>
      <c r="P40" s="3">
        <f t="shared" si="2"/>
        <v>1</v>
      </c>
    </row>
    <row r="41" spans="4:16" x14ac:dyDescent="0.35">
      <c r="D41" s="3">
        <f t="shared" si="2"/>
        <v>1</v>
      </c>
      <c r="E41" s="3">
        <f t="shared" si="2"/>
        <v>1</v>
      </c>
      <c r="F41" s="3">
        <f t="shared" si="2"/>
        <v>1</v>
      </c>
      <c r="G41" s="3">
        <f t="shared" si="2"/>
        <v>0</v>
      </c>
      <c r="H41" s="3">
        <f t="shared" si="2"/>
        <v>1</v>
      </c>
      <c r="I41" s="3">
        <f t="shared" si="2"/>
        <v>1</v>
      </c>
      <c r="J41" s="3">
        <f t="shared" si="2"/>
        <v>0</v>
      </c>
      <c r="K41" s="3">
        <f t="shared" si="2"/>
        <v>0</v>
      </c>
      <c r="L41" s="3">
        <f t="shared" si="2"/>
        <v>0</v>
      </c>
      <c r="M41" s="3">
        <f t="shared" si="2"/>
        <v>0</v>
      </c>
      <c r="N41" s="3">
        <f t="shared" si="2"/>
        <v>0</v>
      </c>
      <c r="O41" s="3">
        <f t="shared" si="2"/>
        <v>0</v>
      </c>
      <c r="P41" s="3">
        <f t="shared" si="2"/>
        <v>0</v>
      </c>
    </row>
    <row r="42" spans="4:16" x14ac:dyDescent="0.35">
      <c r="D42" s="3">
        <f>IF(ABS(D15)&gt;0.1, 1, 0)</f>
        <v>1</v>
      </c>
      <c r="E42" s="3">
        <f t="shared" si="2"/>
        <v>1</v>
      </c>
      <c r="F42" s="3">
        <f t="shared" si="2"/>
        <v>1</v>
      </c>
      <c r="G42" s="3">
        <f t="shared" si="2"/>
        <v>1</v>
      </c>
      <c r="H42" s="3">
        <f t="shared" si="2"/>
        <v>0</v>
      </c>
      <c r="I42" s="3">
        <f t="shared" si="2"/>
        <v>0</v>
      </c>
      <c r="J42" s="3">
        <f t="shared" si="2"/>
        <v>0</v>
      </c>
      <c r="K42" s="3">
        <f t="shared" si="2"/>
        <v>0</v>
      </c>
      <c r="L42" s="3">
        <f t="shared" si="2"/>
        <v>0</v>
      </c>
      <c r="M42" s="3">
        <f t="shared" si="2"/>
        <v>1</v>
      </c>
      <c r="N42" s="3">
        <f t="shared" si="2"/>
        <v>0</v>
      </c>
      <c r="O42" s="3">
        <f t="shared" si="2"/>
        <v>1</v>
      </c>
      <c r="P42" s="3">
        <f t="shared" si="2"/>
        <v>1</v>
      </c>
    </row>
    <row r="43" spans="4:16" x14ac:dyDescent="0.35">
      <c r="D43" s="3">
        <f t="shared" si="2"/>
        <v>1</v>
      </c>
      <c r="E43" s="3">
        <f t="shared" si="2"/>
        <v>1</v>
      </c>
      <c r="F43" s="3">
        <f t="shared" si="2"/>
        <v>1</v>
      </c>
      <c r="G43" s="3">
        <f t="shared" si="2"/>
        <v>1</v>
      </c>
      <c r="H43" s="3">
        <f t="shared" si="2"/>
        <v>0</v>
      </c>
      <c r="I43" s="3">
        <f t="shared" si="2"/>
        <v>0</v>
      </c>
      <c r="J43" s="3">
        <f t="shared" si="2"/>
        <v>0</v>
      </c>
      <c r="K43" s="3">
        <f t="shared" si="2"/>
        <v>0</v>
      </c>
      <c r="L43" s="3">
        <f t="shared" si="2"/>
        <v>0</v>
      </c>
      <c r="M43" s="3">
        <f t="shared" si="2"/>
        <v>0</v>
      </c>
      <c r="N43" s="3">
        <f t="shared" si="2"/>
        <v>0</v>
      </c>
      <c r="O43" s="3">
        <f t="shared" si="2"/>
        <v>1</v>
      </c>
      <c r="P43" s="3">
        <f t="shared" si="2"/>
        <v>1</v>
      </c>
    </row>
    <row r="44" spans="4:16" x14ac:dyDescent="0.35">
      <c r="D44" s="3">
        <f t="shared" si="2"/>
        <v>1</v>
      </c>
      <c r="E44" s="3">
        <f t="shared" si="2"/>
        <v>1</v>
      </c>
      <c r="F44" s="3">
        <f t="shared" si="2"/>
        <v>1</v>
      </c>
      <c r="G44" s="3">
        <f t="shared" si="2"/>
        <v>1</v>
      </c>
      <c r="H44" s="3">
        <f t="shared" si="2"/>
        <v>1</v>
      </c>
      <c r="I44" s="3">
        <f t="shared" si="2"/>
        <v>0</v>
      </c>
      <c r="J44" s="3">
        <f t="shared" si="2"/>
        <v>0</v>
      </c>
      <c r="K44" s="3">
        <f t="shared" si="2"/>
        <v>0</v>
      </c>
      <c r="L44" s="3">
        <f t="shared" si="2"/>
        <v>0</v>
      </c>
      <c r="M44" s="3">
        <f t="shared" si="2"/>
        <v>0</v>
      </c>
      <c r="N44" s="3">
        <f t="shared" si="2"/>
        <v>1</v>
      </c>
      <c r="O44" s="3">
        <f t="shared" si="2"/>
        <v>1</v>
      </c>
      <c r="P44" s="3">
        <f t="shared" si="2"/>
        <v>1</v>
      </c>
    </row>
    <row r="45" spans="4:16" x14ac:dyDescent="0.35">
      <c r="D45" s="3">
        <f t="shared" si="2"/>
        <v>1</v>
      </c>
      <c r="E45" s="3">
        <f t="shared" si="2"/>
        <v>1</v>
      </c>
      <c r="F45" s="3">
        <f t="shared" si="2"/>
        <v>1</v>
      </c>
      <c r="G45" s="3">
        <f t="shared" si="2"/>
        <v>0</v>
      </c>
      <c r="H45" s="3">
        <f t="shared" si="2"/>
        <v>0</v>
      </c>
      <c r="I45" s="3">
        <f t="shared" si="2"/>
        <v>0</v>
      </c>
      <c r="J45" s="3">
        <f t="shared" si="2"/>
        <v>0</v>
      </c>
      <c r="K45" s="3">
        <f t="shared" si="2"/>
        <v>0</v>
      </c>
      <c r="L45" s="3">
        <f t="shared" si="2"/>
        <v>0</v>
      </c>
      <c r="M45" s="3">
        <f t="shared" si="2"/>
        <v>0</v>
      </c>
      <c r="N45" s="3">
        <f t="shared" si="2"/>
        <v>0</v>
      </c>
      <c r="O45" s="3">
        <f t="shared" si="2"/>
        <v>0</v>
      </c>
      <c r="P45" s="3">
        <f t="shared" si="2"/>
        <v>0</v>
      </c>
    </row>
    <row r="46" spans="4:16" x14ac:dyDescent="0.35">
      <c r="D46" s="3">
        <f t="shared" ref="D46:P52" si="3">IF(ABS(D19)&gt;0.1, 1, 0)</f>
        <v>1</v>
      </c>
      <c r="E46" s="3">
        <f t="shared" si="3"/>
        <v>1</v>
      </c>
      <c r="F46" s="3">
        <f t="shared" si="3"/>
        <v>1</v>
      </c>
      <c r="G46" s="3">
        <f t="shared" si="3"/>
        <v>1</v>
      </c>
      <c r="H46" s="3">
        <f t="shared" si="3"/>
        <v>0</v>
      </c>
      <c r="I46" s="3">
        <f t="shared" si="3"/>
        <v>0</v>
      </c>
      <c r="J46" s="3">
        <f t="shared" si="3"/>
        <v>0</v>
      </c>
      <c r="K46" s="3">
        <f t="shared" si="3"/>
        <v>0</v>
      </c>
      <c r="L46" s="3">
        <f t="shared" si="3"/>
        <v>0</v>
      </c>
      <c r="M46" s="3">
        <f t="shared" si="3"/>
        <v>0</v>
      </c>
      <c r="N46" s="3">
        <f t="shared" si="3"/>
        <v>0</v>
      </c>
      <c r="O46" s="3">
        <f t="shared" si="3"/>
        <v>1</v>
      </c>
      <c r="P46" s="3">
        <f t="shared" si="3"/>
        <v>1</v>
      </c>
    </row>
    <row r="47" spans="4:16" x14ac:dyDescent="0.35">
      <c r="D47" s="3">
        <f t="shared" si="3"/>
        <v>1</v>
      </c>
      <c r="E47" s="3">
        <f t="shared" si="3"/>
        <v>1</v>
      </c>
      <c r="F47" s="3">
        <f t="shared" si="3"/>
        <v>1</v>
      </c>
      <c r="G47" s="3">
        <f t="shared" si="3"/>
        <v>1</v>
      </c>
      <c r="H47" s="3">
        <f t="shared" si="3"/>
        <v>1</v>
      </c>
      <c r="I47" s="3">
        <f t="shared" si="3"/>
        <v>1</v>
      </c>
      <c r="J47" s="3">
        <f t="shared" si="3"/>
        <v>1</v>
      </c>
      <c r="K47" s="3">
        <f t="shared" si="3"/>
        <v>1</v>
      </c>
      <c r="L47" s="3">
        <f t="shared" si="3"/>
        <v>0</v>
      </c>
      <c r="M47" s="3">
        <f t="shared" si="3"/>
        <v>1</v>
      </c>
      <c r="N47" s="3">
        <f t="shared" si="3"/>
        <v>1</v>
      </c>
      <c r="O47" s="3">
        <f t="shared" si="3"/>
        <v>1</v>
      </c>
      <c r="P47" s="3">
        <f t="shared" si="3"/>
        <v>1</v>
      </c>
    </row>
    <row r="48" spans="4:16" x14ac:dyDescent="0.35">
      <c r="D48" s="3">
        <f>IF(ABS(D21)&gt;0.1, 1, 0)</f>
        <v>1</v>
      </c>
      <c r="E48" s="3">
        <f t="shared" si="3"/>
        <v>1</v>
      </c>
      <c r="F48" s="3">
        <f t="shared" si="3"/>
        <v>1</v>
      </c>
      <c r="G48" s="3">
        <f t="shared" si="3"/>
        <v>1</v>
      </c>
      <c r="H48" s="3">
        <f t="shared" si="3"/>
        <v>0</v>
      </c>
      <c r="I48" s="3">
        <f t="shared" si="3"/>
        <v>0</v>
      </c>
      <c r="J48" s="3">
        <f t="shared" si="3"/>
        <v>0</v>
      </c>
      <c r="K48" s="3">
        <f t="shared" si="3"/>
        <v>0</v>
      </c>
      <c r="L48" s="3">
        <f t="shared" si="3"/>
        <v>0</v>
      </c>
      <c r="M48" s="3">
        <f t="shared" si="3"/>
        <v>0</v>
      </c>
      <c r="N48" s="3">
        <f t="shared" si="3"/>
        <v>0</v>
      </c>
      <c r="O48" s="3">
        <f t="shared" si="3"/>
        <v>1</v>
      </c>
      <c r="P48" s="3">
        <f t="shared" si="3"/>
        <v>1</v>
      </c>
    </row>
    <row r="49" spans="4:16" x14ac:dyDescent="0.35">
      <c r="D49" s="3">
        <f>IF(ABS(D22)&gt;0.1, 1, 0)</f>
        <v>1</v>
      </c>
      <c r="E49" s="3">
        <f t="shared" si="3"/>
        <v>1</v>
      </c>
      <c r="F49" s="3">
        <f t="shared" si="3"/>
        <v>1</v>
      </c>
      <c r="G49" s="3">
        <f t="shared" si="3"/>
        <v>0</v>
      </c>
      <c r="H49" s="3">
        <f t="shared" si="3"/>
        <v>1</v>
      </c>
      <c r="I49" s="3">
        <f t="shared" si="3"/>
        <v>1</v>
      </c>
      <c r="J49" s="3">
        <f t="shared" si="3"/>
        <v>0</v>
      </c>
      <c r="K49" s="3">
        <f t="shared" si="3"/>
        <v>0</v>
      </c>
      <c r="L49" s="3">
        <f t="shared" si="3"/>
        <v>0</v>
      </c>
      <c r="M49" s="3">
        <f t="shared" si="3"/>
        <v>0</v>
      </c>
      <c r="N49" s="3">
        <f t="shared" si="3"/>
        <v>0</v>
      </c>
      <c r="O49" s="3">
        <f t="shared" si="3"/>
        <v>0</v>
      </c>
      <c r="P49" s="3">
        <f t="shared" si="3"/>
        <v>0</v>
      </c>
    </row>
    <row r="50" spans="4:16" x14ac:dyDescent="0.35">
      <c r="D50" s="3">
        <f t="shared" si="3"/>
        <v>1</v>
      </c>
      <c r="E50" s="3">
        <f t="shared" si="3"/>
        <v>1</v>
      </c>
      <c r="F50" s="3">
        <f t="shared" si="3"/>
        <v>1</v>
      </c>
      <c r="G50" s="3">
        <f t="shared" si="3"/>
        <v>1</v>
      </c>
      <c r="H50" s="3">
        <f t="shared" si="3"/>
        <v>0</v>
      </c>
      <c r="I50" s="3">
        <f t="shared" si="3"/>
        <v>1</v>
      </c>
      <c r="J50" s="3">
        <f t="shared" si="3"/>
        <v>0</v>
      </c>
      <c r="K50" s="3">
        <f t="shared" si="3"/>
        <v>0</v>
      </c>
      <c r="L50" s="3">
        <f t="shared" si="3"/>
        <v>0</v>
      </c>
      <c r="M50" s="3">
        <f t="shared" si="3"/>
        <v>0</v>
      </c>
      <c r="N50" s="3">
        <f t="shared" si="3"/>
        <v>0</v>
      </c>
      <c r="O50" s="3">
        <f t="shared" si="3"/>
        <v>1</v>
      </c>
      <c r="P50" s="3">
        <f t="shared" si="3"/>
        <v>0</v>
      </c>
    </row>
    <row r="51" spans="4:16" x14ac:dyDescent="0.35">
      <c r="D51" s="3">
        <f t="shared" si="3"/>
        <v>1</v>
      </c>
      <c r="E51" s="3">
        <f t="shared" si="3"/>
        <v>1</v>
      </c>
      <c r="F51" s="3">
        <f t="shared" si="3"/>
        <v>1</v>
      </c>
      <c r="G51" s="3">
        <f t="shared" si="3"/>
        <v>1</v>
      </c>
      <c r="H51" s="3">
        <f t="shared" si="3"/>
        <v>1</v>
      </c>
      <c r="I51" s="3">
        <f t="shared" si="3"/>
        <v>0</v>
      </c>
      <c r="J51" s="3">
        <f t="shared" si="3"/>
        <v>0</v>
      </c>
      <c r="K51" s="3">
        <f t="shared" si="3"/>
        <v>0</v>
      </c>
      <c r="L51" s="3">
        <f t="shared" si="3"/>
        <v>0</v>
      </c>
      <c r="M51" s="3">
        <f t="shared" si="3"/>
        <v>0</v>
      </c>
      <c r="N51" s="3">
        <f t="shared" si="3"/>
        <v>0</v>
      </c>
      <c r="O51" s="3">
        <f t="shared" si="3"/>
        <v>1</v>
      </c>
      <c r="P51" s="3">
        <f t="shared" si="3"/>
        <v>1</v>
      </c>
    </row>
    <row r="52" spans="4:16" x14ac:dyDescent="0.35">
      <c r="D52" s="3">
        <f t="shared" si="3"/>
        <v>1</v>
      </c>
      <c r="E52" s="3">
        <f t="shared" si="3"/>
        <v>1</v>
      </c>
      <c r="F52" s="3">
        <f t="shared" si="3"/>
        <v>1</v>
      </c>
      <c r="G52" s="3">
        <f t="shared" si="3"/>
        <v>1</v>
      </c>
      <c r="H52" s="3">
        <f t="shared" si="3"/>
        <v>1</v>
      </c>
      <c r="I52" s="3">
        <f t="shared" si="3"/>
        <v>0</v>
      </c>
      <c r="J52" s="3">
        <f t="shared" si="3"/>
        <v>0</v>
      </c>
      <c r="K52" s="3">
        <f t="shared" si="3"/>
        <v>0</v>
      </c>
      <c r="L52" s="3">
        <f t="shared" si="3"/>
        <v>0</v>
      </c>
      <c r="M52" s="3">
        <f t="shared" si="3"/>
        <v>0</v>
      </c>
      <c r="N52" s="3">
        <f t="shared" si="3"/>
        <v>1</v>
      </c>
      <c r="O52" s="3">
        <f t="shared" si="3"/>
        <v>1</v>
      </c>
      <c r="P52" s="3">
        <f t="shared" si="3"/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Bhagwat, Sarang Sunil</cp:lastModifiedBy>
  <dcterms:created xsi:type="dcterms:W3CDTF">2024-12-19T07:36:38Z</dcterms:created>
  <dcterms:modified xsi:type="dcterms:W3CDTF">2024-12-19T08:16:06Z</dcterms:modified>
</cp:coreProperties>
</file>