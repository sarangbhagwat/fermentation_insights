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9BCE34DE-A403-4F09-87C7-23B03A3C08D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J11" i="1"/>
  <c r="J23" i="1"/>
  <c r="K23" i="1"/>
  <c r="L23" i="1"/>
  <c r="J24" i="1"/>
  <c r="K24" i="1"/>
  <c r="L24" i="1"/>
  <c r="J25" i="1"/>
  <c r="K25" i="1"/>
  <c r="L25" i="1"/>
  <c r="K22" i="1"/>
  <c r="L22" i="1"/>
  <c r="J22" i="1"/>
  <c r="J19" i="1"/>
  <c r="K19" i="1"/>
  <c r="L19" i="1"/>
  <c r="J20" i="1"/>
  <c r="K20" i="1"/>
  <c r="L20" i="1"/>
  <c r="J21" i="1"/>
  <c r="K21" i="1"/>
  <c r="L21" i="1"/>
  <c r="K18" i="1"/>
  <c r="L18" i="1"/>
  <c r="J18" i="1"/>
  <c r="J15" i="1"/>
  <c r="K15" i="1"/>
  <c r="L15" i="1"/>
  <c r="J16" i="1"/>
  <c r="K16" i="1"/>
  <c r="L16" i="1"/>
  <c r="J17" i="1"/>
  <c r="K17" i="1"/>
  <c r="L17" i="1"/>
  <c r="K14" i="1"/>
  <c r="L14" i="1"/>
  <c r="J14" i="1"/>
  <c r="J2" i="1"/>
  <c r="J10" i="1"/>
  <c r="K11" i="1"/>
  <c r="L11" i="1"/>
  <c r="J12" i="1"/>
  <c r="K12" i="1"/>
  <c r="L12" i="1"/>
  <c r="J13" i="1"/>
  <c r="K13" i="1"/>
  <c r="L13" i="1"/>
  <c r="K10" i="1"/>
  <c r="L10" i="1"/>
  <c r="J7" i="1"/>
  <c r="K7" i="1"/>
  <c r="L7" i="1"/>
  <c r="J8" i="1"/>
  <c r="K8" i="1"/>
  <c r="L8" i="1"/>
  <c r="J9" i="1"/>
  <c r="K9" i="1"/>
  <c r="L9" i="1"/>
  <c r="K6" i="1"/>
  <c r="L6" i="1"/>
  <c r="J6" i="1"/>
  <c r="J3" i="1"/>
  <c r="K3" i="1"/>
  <c r="L3" i="1"/>
  <c r="J4" i="1"/>
  <c r="K4" i="1"/>
  <c r="L4" i="1"/>
  <c r="J5" i="1"/>
  <c r="K5" i="1"/>
  <c r="L5" i="1"/>
  <c r="K2" i="1"/>
  <c r="L2" i="1"/>
</calcChain>
</file>

<file path=xl/sharedStrings.xml><?xml version="1.0" encoding="utf-8"?>
<sst xmlns="http://schemas.openxmlformats.org/spreadsheetml/2006/main" count="54" uniqueCount="16">
  <si>
    <t>product</t>
  </si>
  <si>
    <t>feedstock</t>
  </si>
  <si>
    <t>baseline</t>
  </si>
  <si>
    <t>5th</t>
  </si>
  <si>
    <t>50th</t>
  </si>
  <si>
    <t>95th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</si>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</sst>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9" fontId="0" fillId="0" borderId="0" xfId="1" applyFon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D25" sqref="D25"/>
    </sheetView>
  </sheetViews>
  <sheetFormatPr defaultRowHeight="14.5" x14ac:dyDescent="0.35"/>
  <cols>
    <col min="2" max="2" width="18.453125" customWidth="1"/>
    <col min="3" max="3" width="15" customWidth="1"/>
    <col min="4" max="6" width="8.7265625" style="3"/>
    <col min="8" max="8" width="8.7265625" style="3"/>
  </cols>
  <sheetData>
    <row r="1" spans="1:12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5</v>
      </c>
      <c r="H1" s="2" t="s">
        <v>4</v>
      </c>
    </row>
    <row r="2" spans="1:12" x14ac:dyDescent="0.35">
      <c r="A2" s="1">
        <v>0</v>
      </c>
      <c r="B2" t="s">
        <v>6</v>
      </c>
      <c r="C2" t="s">
        <v>7</v>
      </c>
      <c r="D2" s="3">
        <v>28.737615480710371</v>
      </c>
      <c r="E2" s="3">
        <v>21.394935998608162</v>
      </c>
      <c r="F2" s="3">
        <v>34.57131871341101</v>
      </c>
      <c r="H2" s="3">
        <v>27.284693043188788</v>
      </c>
      <c r="I2">
        <f>IF(E2&lt;D2,IF(F2&gt;D2,1,0),0)</f>
        <v>1</v>
      </c>
      <c r="J2" s="4">
        <f>1-D2/D$2</f>
        <v>0</v>
      </c>
      <c r="K2" s="4">
        <f t="shared" ref="K2:L2" si="0">1-E2/E$2</f>
        <v>0</v>
      </c>
      <c r="L2" s="4">
        <f t="shared" si="0"/>
        <v>0</v>
      </c>
    </row>
    <row r="3" spans="1:12" s="6" customFormat="1" x14ac:dyDescent="0.35">
      <c r="A3" s="5">
        <v>1</v>
      </c>
      <c r="B3" s="6" t="s">
        <v>6</v>
      </c>
      <c r="C3" s="6" t="s">
        <v>8</v>
      </c>
      <c r="D3" s="7">
        <v>33.034981460596512</v>
      </c>
      <c r="E3" s="7">
        <v>25.172697744680789</v>
      </c>
      <c r="F3" s="7">
        <v>38.452168801966472</v>
      </c>
      <c r="H3" s="7">
        <v>31.09187799531464</v>
      </c>
      <c r="I3">
        <f t="shared" ref="I3:I25" si="1">IF(E3&lt;D3,IF(F3&gt;D3,1,0),0)</f>
        <v>1</v>
      </c>
      <c r="J3" s="8">
        <f t="shared" ref="J3:J5" si="2">1-D3/D$2</f>
        <v>-0.1495380151763348</v>
      </c>
      <c r="K3" s="8">
        <f t="shared" ref="K3:K5" si="3">1-E3/E$2</f>
        <v>-0.17657270609822762</v>
      </c>
      <c r="L3" s="8">
        <f t="shared" ref="L3:L5" si="4">1-F3/F$2</f>
        <v>-0.11225635101532849</v>
      </c>
    </row>
    <row r="4" spans="1:12" x14ac:dyDescent="0.35">
      <c r="A4" s="1">
        <v>2</v>
      </c>
      <c r="B4" t="s">
        <v>6</v>
      </c>
      <c r="C4" t="s">
        <v>9</v>
      </c>
      <c r="D4" s="3">
        <v>29.085946519708418</v>
      </c>
      <c r="E4" s="3">
        <v>20.074273482579009</v>
      </c>
      <c r="F4" s="3">
        <v>32.744082085714233</v>
      </c>
      <c r="H4" s="3">
        <v>25.607290350958429</v>
      </c>
      <c r="I4">
        <f t="shared" si="1"/>
        <v>1</v>
      </c>
      <c r="J4" s="4">
        <f t="shared" si="2"/>
        <v>-1.2121083575352909E-2</v>
      </c>
      <c r="K4" s="4">
        <f t="shared" si="3"/>
        <v>6.1727808679356011E-2</v>
      </c>
      <c r="L4" s="4">
        <f t="shared" si="4"/>
        <v>5.285411999594769E-2</v>
      </c>
    </row>
    <row r="5" spans="1:12" x14ac:dyDescent="0.35">
      <c r="A5" s="1">
        <v>3</v>
      </c>
      <c r="B5" t="s">
        <v>6</v>
      </c>
      <c r="C5" t="s">
        <v>10</v>
      </c>
      <c r="D5" s="3">
        <v>30.322587766947109</v>
      </c>
      <c r="E5" s="3">
        <v>22.22721900417385</v>
      </c>
      <c r="F5" s="3">
        <v>35.096289286972137</v>
      </c>
      <c r="H5" s="3">
        <v>27.958277172124241</v>
      </c>
      <c r="I5">
        <f t="shared" si="1"/>
        <v>1</v>
      </c>
      <c r="J5" s="4">
        <f t="shared" si="2"/>
        <v>-5.5153228955291178E-2</v>
      </c>
      <c r="K5" s="4">
        <f t="shared" si="3"/>
        <v>-3.8900934577221102E-2</v>
      </c>
      <c r="L5" s="4">
        <f t="shared" si="4"/>
        <v>-1.5185147489253259E-2</v>
      </c>
    </row>
    <row r="6" spans="1:12" x14ac:dyDescent="0.35">
      <c r="A6" s="1">
        <v>4</v>
      </c>
      <c r="B6" t="s">
        <v>11</v>
      </c>
      <c r="C6" t="s">
        <v>7</v>
      </c>
      <c r="D6" s="3">
        <v>27.657260417687169</v>
      </c>
      <c r="E6" s="3">
        <v>20.207910897706501</v>
      </c>
      <c r="F6" s="3">
        <v>33.015698747182803</v>
      </c>
      <c r="H6" s="3">
        <v>25.71532502917383</v>
      </c>
      <c r="I6">
        <f t="shared" si="1"/>
        <v>1</v>
      </c>
      <c r="J6" s="4">
        <f>1-D6/D$6</f>
        <v>0</v>
      </c>
      <c r="K6" s="4">
        <f t="shared" ref="K6:L6" si="5">1-E6/E$6</f>
        <v>0</v>
      </c>
      <c r="L6" s="4">
        <f t="shared" si="5"/>
        <v>0</v>
      </c>
    </row>
    <row r="7" spans="1:12" s="6" customFormat="1" x14ac:dyDescent="0.35">
      <c r="A7" s="5">
        <v>5</v>
      </c>
      <c r="B7" s="6" t="s">
        <v>11</v>
      </c>
      <c r="C7" s="6" t="s">
        <v>8</v>
      </c>
      <c r="D7" s="7">
        <v>33.254714168409024</v>
      </c>
      <c r="E7" s="7">
        <v>24.709885346429491</v>
      </c>
      <c r="F7" s="7">
        <v>37.754612486199143</v>
      </c>
      <c r="H7" s="7">
        <v>30.73153341285354</v>
      </c>
      <c r="I7">
        <f t="shared" si="1"/>
        <v>1</v>
      </c>
      <c r="J7" s="8">
        <f t="shared" ref="J7:J9" si="6">1-D7/D$6</f>
        <v>-0.20238641377300737</v>
      </c>
      <c r="K7" s="8">
        <f t="shared" ref="K7:K9" si="7">1-E7/E$6</f>
        <v>-0.22278277410823022</v>
      </c>
      <c r="L7" s="8">
        <f t="shared" ref="L7:L9" si="8">1-F7/F$6</f>
        <v>-0.14353516414432099</v>
      </c>
    </row>
    <row r="8" spans="1:12" x14ac:dyDescent="0.35">
      <c r="A8" s="1">
        <v>6</v>
      </c>
      <c r="B8" t="s">
        <v>11</v>
      </c>
      <c r="C8" t="s">
        <v>9</v>
      </c>
      <c r="D8" s="3">
        <v>28.793482438667208</v>
      </c>
      <c r="E8" s="3">
        <v>20.221341205914062</v>
      </c>
      <c r="F8" s="3">
        <v>32.524886911128682</v>
      </c>
      <c r="H8" s="3">
        <v>25.557366729301378</v>
      </c>
      <c r="I8">
        <f t="shared" si="1"/>
        <v>1</v>
      </c>
      <c r="J8" s="4">
        <f t="shared" si="6"/>
        <v>-4.1082233157605508E-2</v>
      </c>
      <c r="K8" s="4">
        <f t="shared" si="7"/>
        <v>-6.6460646404986612E-4</v>
      </c>
      <c r="L8" s="4">
        <f t="shared" si="8"/>
        <v>1.4866013886681739E-2</v>
      </c>
    </row>
    <row r="9" spans="1:12" x14ac:dyDescent="0.35">
      <c r="A9" s="1">
        <v>7</v>
      </c>
      <c r="B9" t="s">
        <v>11</v>
      </c>
      <c r="C9" t="s">
        <v>10</v>
      </c>
      <c r="D9" s="3">
        <v>29.735050744682681</v>
      </c>
      <c r="E9" s="3">
        <v>21.55257517854497</v>
      </c>
      <c r="F9" s="3">
        <v>34.082651877632522</v>
      </c>
      <c r="H9" s="3">
        <v>26.912357407047299</v>
      </c>
      <c r="I9">
        <f t="shared" si="1"/>
        <v>1</v>
      </c>
      <c r="J9" s="4">
        <f t="shared" si="6"/>
        <v>-7.512639703340751E-2</v>
      </c>
      <c r="K9" s="4">
        <f t="shared" si="7"/>
        <v>-6.6541479109108792E-2</v>
      </c>
      <c r="L9" s="4">
        <f t="shared" si="8"/>
        <v>-3.2316539432343916E-2</v>
      </c>
    </row>
    <row r="10" spans="1:12" x14ac:dyDescent="0.35">
      <c r="A10" s="1">
        <v>8</v>
      </c>
      <c r="B10" t="s">
        <v>12</v>
      </c>
      <c r="C10" t="s">
        <v>7</v>
      </c>
      <c r="D10" s="3">
        <v>19.141474232261508</v>
      </c>
      <c r="E10" s="3">
        <v>17.93945519021781</v>
      </c>
      <c r="F10" s="3">
        <v>20.98129588709353</v>
      </c>
      <c r="H10" s="3">
        <v>19.41614673543727</v>
      </c>
      <c r="I10">
        <f t="shared" si="1"/>
        <v>1</v>
      </c>
      <c r="J10" s="4">
        <f>1-D10/D$10</f>
        <v>0</v>
      </c>
      <c r="K10" s="4">
        <f t="shared" ref="K10:L10" si="9">1-E10/E$10</f>
        <v>0</v>
      </c>
      <c r="L10" s="4">
        <f t="shared" si="9"/>
        <v>0</v>
      </c>
    </row>
    <row r="11" spans="1:12" s="6" customFormat="1" x14ac:dyDescent="0.35">
      <c r="A11" s="5">
        <v>9</v>
      </c>
      <c r="B11" s="6" t="s">
        <v>12</v>
      </c>
      <c r="C11" s="6" t="s">
        <v>8</v>
      </c>
      <c r="D11" s="7">
        <v>25.48894402843715</v>
      </c>
      <c r="E11" s="7">
        <v>23.558312973543519</v>
      </c>
      <c r="F11" s="7">
        <v>29.893867351619289</v>
      </c>
      <c r="H11" s="7">
        <v>26.274270399712481</v>
      </c>
      <c r="I11">
        <f t="shared" si="1"/>
        <v>1</v>
      </c>
      <c r="J11" s="8">
        <f>1-D11/D$10</f>
        <v>-0.33160819899009986</v>
      </c>
      <c r="K11" s="8">
        <f t="shared" ref="K11:K13" si="10">1-E11/E$10</f>
        <v>-0.31321228675827406</v>
      </c>
      <c r="L11" s="8">
        <f t="shared" ref="L11:L13" si="11">1-F11/F$10</f>
        <v>-0.42478651044658555</v>
      </c>
    </row>
    <row r="12" spans="1:12" x14ac:dyDescent="0.35">
      <c r="A12" s="1">
        <v>10</v>
      </c>
      <c r="B12" t="s">
        <v>12</v>
      </c>
      <c r="C12" t="s">
        <v>9</v>
      </c>
      <c r="D12" s="3">
        <v>21.456037884174709</v>
      </c>
      <c r="E12" s="3">
        <v>19.45977549633804</v>
      </c>
      <c r="F12" s="3">
        <v>22.97939818444598</v>
      </c>
      <c r="H12" s="3">
        <v>21.179800504724611</v>
      </c>
      <c r="I12">
        <f t="shared" si="1"/>
        <v>1</v>
      </c>
      <c r="J12" s="4">
        <f t="shared" ref="J12:J13" si="12">1-D12/D$10</f>
        <v>-0.12091877688355779</v>
      </c>
      <c r="K12" s="4">
        <f t="shared" si="10"/>
        <v>-8.4747295277352919E-2</v>
      </c>
      <c r="L12" s="4">
        <f t="shared" si="11"/>
        <v>-9.5232549414717704E-2</v>
      </c>
    </row>
    <row r="13" spans="1:12" x14ac:dyDescent="0.35">
      <c r="A13" s="1">
        <v>11</v>
      </c>
      <c r="B13" t="s">
        <v>12</v>
      </c>
      <c r="C13" t="s">
        <v>10</v>
      </c>
      <c r="D13" s="3">
        <v>21.46558166185681</v>
      </c>
      <c r="E13" s="3">
        <v>19.87494688870304</v>
      </c>
      <c r="F13" s="3">
        <v>23.356377458897299</v>
      </c>
      <c r="H13" s="3">
        <v>21.58749283130367</v>
      </c>
      <c r="I13">
        <f t="shared" si="1"/>
        <v>1</v>
      </c>
      <c r="J13" s="4">
        <f t="shared" si="12"/>
        <v>-0.1214173684531672</v>
      </c>
      <c r="K13" s="4">
        <f t="shared" si="10"/>
        <v>-0.10789021617226324</v>
      </c>
      <c r="L13" s="4">
        <f t="shared" si="11"/>
        <v>-0.11319994649447662</v>
      </c>
    </row>
    <row r="14" spans="1:12" x14ac:dyDescent="0.35">
      <c r="A14" s="1">
        <v>12</v>
      </c>
      <c r="B14" t="s">
        <v>13</v>
      </c>
      <c r="C14" t="s">
        <v>7</v>
      </c>
      <c r="D14" s="3">
        <v>20.544404638508549</v>
      </c>
      <c r="E14" s="3">
        <v>18.53956290018321</v>
      </c>
      <c r="F14" s="3">
        <v>21.876636832013372</v>
      </c>
      <c r="H14" s="3">
        <v>20.177871052714149</v>
      </c>
      <c r="I14">
        <f t="shared" si="1"/>
        <v>1</v>
      </c>
      <c r="J14" s="4">
        <f>1-D14/D$14</f>
        <v>0</v>
      </c>
      <c r="K14" s="4">
        <f t="shared" ref="K14:L14" si="13">1-E14/E$14</f>
        <v>0</v>
      </c>
      <c r="L14" s="4">
        <f t="shared" si="13"/>
        <v>0</v>
      </c>
    </row>
    <row r="15" spans="1:12" s="6" customFormat="1" x14ac:dyDescent="0.35">
      <c r="A15" s="5">
        <v>13</v>
      </c>
      <c r="B15" s="6" t="s">
        <v>13</v>
      </c>
      <c r="C15" s="6" t="s">
        <v>8</v>
      </c>
      <c r="D15" s="7">
        <v>26.35098721705684</v>
      </c>
      <c r="E15" s="7">
        <v>23.980298841975099</v>
      </c>
      <c r="F15" s="7">
        <v>30.37036365218589</v>
      </c>
      <c r="H15" s="7">
        <v>26.427724137472321</v>
      </c>
      <c r="I15">
        <f t="shared" si="1"/>
        <v>1</v>
      </c>
      <c r="J15" s="8">
        <f t="shared" ref="J15:J17" si="14">1-D15/D$14</f>
        <v>-0.28263571910302043</v>
      </c>
      <c r="K15" s="8">
        <f t="shared" ref="K15:K17" si="15">1-E15/E$14</f>
        <v>-0.29346624680877031</v>
      </c>
      <c r="L15" s="8">
        <f t="shared" ref="L15:L17" si="16">1-F15/F$14</f>
        <v>-0.38825560278731452</v>
      </c>
    </row>
    <row r="16" spans="1:12" x14ac:dyDescent="0.35">
      <c r="A16" s="1">
        <v>14</v>
      </c>
      <c r="B16" t="s">
        <v>13</v>
      </c>
      <c r="C16" t="s">
        <v>9</v>
      </c>
      <c r="D16" s="3">
        <v>22.243558800924301</v>
      </c>
      <c r="E16" s="3">
        <v>19.834032242168949</v>
      </c>
      <c r="F16" s="3">
        <v>23.56642867948765</v>
      </c>
      <c r="H16" s="3">
        <v>21.675201023789441</v>
      </c>
      <c r="I16">
        <f t="shared" si="1"/>
        <v>1</v>
      </c>
      <c r="J16" s="4">
        <f t="shared" si="14"/>
        <v>-8.2706420181719364E-2</v>
      </c>
      <c r="K16" s="4">
        <f t="shared" si="15"/>
        <v>-6.9821998984288092E-2</v>
      </c>
      <c r="L16" s="4">
        <f t="shared" si="16"/>
        <v>-7.7241847567790067E-2</v>
      </c>
    </row>
    <row r="17" spans="1:12" x14ac:dyDescent="0.35">
      <c r="A17" s="1">
        <v>15</v>
      </c>
      <c r="B17" t="s">
        <v>13</v>
      </c>
      <c r="C17" t="s">
        <v>10</v>
      </c>
      <c r="D17" s="3">
        <v>22.275493640398551</v>
      </c>
      <c r="E17" s="3">
        <v>20.282582244842409</v>
      </c>
      <c r="F17" s="3">
        <v>23.874944764162461</v>
      </c>
      <c r="H17" s="3">
        <v>22.064622197676819</v>
      </c>
      <c r="I17">
        <f t="shared" si="1"/>
        <v>1</v>
      </c>
      <c r="J17" s="4">
        <f t="shared" si="14"/>
        <v>-8.4260850209562088E-2</v>
      </c>
      <c r="K17" s="4">
        <f t="shared" si="15"/>
        <v>-9.4016204915056356E-2</v>
      </c>
      <c r="L17" s="4">
        <f t="shared" si="16"/>
        <v>-9.1344384765068121E-2</v>
      </c>
    </row>
    <row r="18" spans="1:12" x14ac:dyDescent="0.35">
      <c r="A18" s="1">
        <v>16</v>
      </c>
      <c r="B18" t="s">
        <v>14</v>
      </c>
      <c r="C18" t="s">
        <v>7</v>
      </c>
      <c r="D18" s="3">
        <v>17.87656209596414</v>
      </c>
      <c r="E18" s="3">
        <v>16.03455856891912</v>
      </c>
      <c r="F18" s="3">
        <v>18.553399885212539</v>
      </c>
      <c r="H18" s="3">
        <v>17.2912543914188</v>
      </c>
      <c r="I18">
        <f t="shared" si="1"/>
        <v>1</v>
      </c>
      <c r="J18" s="4">
        <f>1-D18/D$18</f>
        <v>0</v>
      </c>
      <c r="K18" s="4">
        <f t="shared" ref="K18:L18" si="17">1-E18/E$18</f>
        <v>0</v>
      </c>
      <c r="L18" s="4">
        <f t="shared" si="17"/>
        <v>0</v>
      </c>
    </row>
    <row r="19" spans="1:12" s="6" customFormat="1" x14ac:dyDescent="0.35">
      <c r="A19" s="5">
        <v>17</v>
      </c>
      <c r="B19" s="6" t="s">
        <v>14</v>
      </c>
      <c r="C19" s="6" t="s">
        <v>8</v>
      </c>
      <c r="D19" s="7">
        <v>20.750332739426671</v>
      </c>
      <c r="E19" s="7">
        <v>19.589588143363901</v>
      </c>
      <c r="F19" s="7">
        <v>24.522837053122711</v>
      </c>
      <c r="H19" s="7">
        <v>21.769002597056751</v>
      </c>
      <c r="I19">
        <f t="shared" si="1"/>
        <v>1</v>
      </c>
      <c r="J19" s="8">
        <f t="shared" ref="J19:J21" si="18">1-D19/D$18</f>
        <v>-0.16075633715452042</v>
      </c>
      <c r="K19" s="8">
        <f t="shared" ref="K19:K21" si="19">1-E19/E$18</f>
        <v>-0.22171047361015206</v>
      </c>
      <c r="L19" s="8">
        <f t="shared" ref="L19:L21" si="20">1-F19/F$18</f>
        <v>-0.32174357286763078</v>
      </c>
    </row>
    <row r="20" spans="1:12" x14ac:dyDescent="0.35">
      <c r="A20" s="1">
        <v>18</v>
      </c>
      <c r="B20" t="s">
        <v>14</v>
      </c>
      <c r="C20" t="s">
        <v>9</v>
      </c>
      <c r="D20" s="3">
        <v>17.801107051048589</v>
      </c>
      <c r="E20" s="3">
        <v>16.50282027435756</v>
      </c>
      <c r="F20" s="3">
        <v>19.096665042123409</v>
      </c>
      <c r="H20" s="3">
        <v>17.492932472919069</v>
      </c>
      <c r="I20">
        <f t="shared" si="1"/>
        <v>1</v>
      </c>
      <c r="J20" s="4">
        <f t="shared" si="18"/>
        <v>4.2208923902983253E-3</v>
      </c>
      <c r="K20" s="4">
        <f t="shared" si="19"/>
        <v>-2.9203280116866015E-2</v>
      </c>
      <c r="L20" s="4">
        <f t="shared" si="20"/>
        <v>-2.9281164652946723E-2</v>
      </c>
    </row>
    <row r="21" spans="1:12" x14ac:dyDescent="0.35">
      <c r="A21" s="1">
        <v>19</v>
      </c>
      <c r="B21" t="s">
        <v>14</v>
      </c>
      <c r="C21" t="s">
        <v>10</v>
      </c>
      <c r="D21" s="3">
        <v>17.927666570548588</v>
      </c>
      <c r="E21" s="3">
        <v>30.569282018790691</v>
      </c>
      <c r="F21" s="3">
        <v>38.934556458280078</v>
      </c>
      <c r="H21" s="3">
        <v>34.507359809606967</v>
      </c>
      <c r="I21">
        <f t="shared" si="1"/>
        <v>0</v>
      </c>
      <c r="J21" s="4">
        <f t="shared" si="18"/>
        <v>-2.8587417597472076E-3</v>
      </c>
      <c r="K21" s="4">
        <f t="shared" si="19"/>
        <v>-0.90646233804310761</v>
      </c>
      <c r="L21" s="4">
        <f t="shared" si="20"/>
        <v>-1.0985133020989735</v>
      </c>
    </row>
    <row r="22" spans="1:12" x14ac:dyDescent="0.35">
      <c r="A22" s="1">
        <v>20</v>
      </c>
      <c r="B22" t="s">
        <v>15</v>
      </c>
      <c r="C22" t="s">
        <v>7</v>
      </c>
      <c r="D22" s="3">
        <v>17.974454182865141</v>
      </c>
      <c r="E22" s="3">
        <v>15.494750455827139</v>
      </c>
      <c r="F22" s="3">
        <v>18.216706625630021</v>
      </c>
      <c r="H22" s="3">
        <v>16.99064652053772</v>
      </c>
      <c r="I22">
        <f t="shared" si="1"/>
        <v>1</v>
      </c>
      <c r="J22" s="4">
        <f>1-D22/D$22</f>
        <v>0</v>
      </c>
      <c r="K22" s="4">
        <f t="shared" ref="K22:L22" si="21">1-E22/E$22</f>
        <v>0</v>
      </c>
      <c r="L22" s="4">
        <f t="shared" si="21"/>
        <v>0</v>
      </c>
    </row>
    <row r="23" spans="1:12" s="6" customFormat="1" x14ac:dyDescent="0.35">
      <c r="A23" s="5">
        <v>21</v>
      </c>
      <c r="B23" s="6" t="s">
        <v>15</v>
      </c>
      <c r="C23" s="6" t="s">
        <v>8</v>
      </c>
      <c r="D23" s="7">
        <v>20.50927024398705</v>
      </c>
      <c r="E23" s="7">
        <v>32.973292947495601</v>
      </c>
      <c r="F23" s="7">
        <v>41.756464238402081</v>
      </c>
      <c r="H23" s="7">
        <v>36.758247842853038</v>
      </c>
      <c r="I23">
        <f t="shared" si="1"/>
        <v>0</v>
      </c>
      <c r="J23" s="8">
        <f t="shared" ref="J23:J25" si="22">1-D23/D$22</f>
        <v>-0.14102325641344482</v>
      </c>
      <c r="K23" s="8">
        <f t="shared" ref="K23:K25" si="23">1-E23/E$22</f>
        <v>-1.1280299441734649</v>
      </c>
      <c r="L23" s="8">
        <f t="shared" ref="L23:L25" si="24">1-F23/F$22</f>
        <v>-1.2922070984912697</v>
      </c>
    </row>
    <row r="24" spans="1:12" x14ac:dyDescent="0.35">
      <c r="A24" s="1">
        <v>22</v>
      </c>
      <c r="B24" t="s">
        <v>15</v>
      </c>
      <c r="C24" t="s">
        <v>9</v>
      </c>
      <c r="D24" s="3">
        <v>17.583367104320839</v>
      </c>
      <c r="E24" s="3">
        <v>24.000476546860099</v>
      </c>
      <c r="F24" s="3">
        <v>31.68575887600003</v>
      </c>
      <c r="H24" s="3">
        <v>27.554017340836431</v>
      </c>
      <c r="I24">
        <f t="shared" si="1"/>
        <v>0</v>
      </c>
      <c r="J24" s="4">
        <f t="shared" si="22"/>
        <v>2.1757939048692831E-2</v>
      </c>
      <c r="K24" s="4">
        <f t="shared" si="23"/>
        <v>-0.54894243797480424</v>
      </c>
      <c r="L24" s="4">
        <f t="shared" si="24"/>
        <v>-0.73937910551952934</v>
      </c>
    </row>
    <row r="25" spans="1:12" x14ac:dyDescent="0.35">
      <c r="A25" s="1">
        <v>23</v>
      </c>
      <c r="B25" t="s">
        <v>15</v>
      </c>
      <c r="C25" t="s">
        <v>10</v>
      </c>
      <c r="D25" s="3">
        <v>17.678571450757001</v>
      </c>
      <c r="E25" s="3">
        <v>15.859133472203119</v>
      </c>
      <c r="F25" s="3">
        <v>26.96444420798586</v>
      </c>
      <c r="H25" s="3">
        <v>22.139875821932751</v>
      </c>
      <c r="I25">
        <f t="shared" si="1"/>
        <v>1</v>
      </c>
      <c r="J25" s="4">
        <f t="shared" si="22"/>
        <v>1.646129162521115E-2</v>
      </c>
      <c r="K25" s="4">
        <f t="shared" si="23"/>
        <v>-2.351654629190536E-2</v>
      </c>
      <c r="L25" s="4">
        <f t="shared" si="24"/>
        <v>-0.48020412043350347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2024-12-19T06:11:15Z</dcterms:created>
  <dcterms:modified xsi:type="dcterms:W3CDTF">2024-12-20T12:26:09Z</dcterms:modified>
</cp:coreProperties>
</file>