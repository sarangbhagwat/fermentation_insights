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2E624FBC-78C3-4CD0-B041-9D7F3B29834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H27" i="1"/>
  <c r="I27" i="1"/>
  <c r="J27" i="1"/>
  <c r="K27" i="1"/>
  <c r="L27" i="1"/>
  <c r="M27" i="1"/>
  <c r="N27" i="1"/>
  <c r="O27" i="1"/>
  <c r="P27" i="1"/>
  <c r="D48" i="1"/>
  <c r="D42" i="1"/>
  <c r="D49" i="1"/>
  <c r="D34" i="1"/>
  <c r="E29" i="1"/>
  <c r="F29" i="1"/>
  <c r="G29" i="1"/>
  <c r="H29" i="1"/>
  <c r="I29" i="1"/>
  <c r="J29" i="1"/>
  <c r="K29" i="1"/>
  <c r="L29" i="1"/>
  <c r="M29" i="1"/>
  <c r="N29" i="1"/>
  <c r="O29" i="1"/>
  <c r="P29" i="1"/>
  <c r="E30" i="1"/>
  <c r="F30" i="1"/>
  <c r="G30" i="1"/>
  <c r="H30" i="1"/>
  <c r="I30" i="1"/>
  <c r="J30" i="1"/>
  <c r="K30" i="1"/>
  <c r="L30" i="1"/>
  <c r="M30" i="1"/>
  <c r="N30" i="1"/>
  <c r="O30" i="1"/>
  <c r="P30" i="1"/>
  <c r="E31" i="1"/>
  <c r="F31" i="1"/>
  <c r="G31" i="1"/>
  <c r="H31" i="1"/>
  <c r="I31" i="1"/>
  <c r="J31" i="1"/>
  <c r="K31" i="1"/>
  <c r="L31" i="1"/>
  <c r="M31" i="1"/>
  <c r="N31" i="1"/>
  <c r="O31" i="1"/>
  <c r="P31" i="1"/>
  <c r="E32" i="1"/>
  <c r="F32" i="1"/>
  <c r="G32" i="1"/>
  <c r="H32" i="1"/>
  <c r="I32" i="1"/>
  <c r="J32" i="1"/>
  <c r="K32" i="1"/>
  <c r="L32" i="1"/>
  <c r="M32" i="1"/>
  <c r="N32" i="1"/>
  <c r="O32" i="1"/>
  <c r="P32" i="1"/>
  <c r="E33" i="1"/>
  <c r="F33" i="1"/>
  <c r="G33" i="1"/>
  <c r="H33" i="1"/>
  <c r="I33" i="1"/>
  <c r="J33" i="1"/>
  <c r="K33" i="1"/>
  <c r="L33" i="1"/>
  <c r="M33" i="1"/>
  <c r="N33" i="1"/>
  <c r="O33" i="1"/>
  <c r="P33" i="1"/>
  <c r="E34" i="1"/>
  <c r="F34" i="1"/>
  <c r="G34" i="1"/>
  <c r="H34" i="1"/>
  <c r="I34" i="1"/>
  <c r="J34" i="1"/>
  <c r="K34" i="1"/>
  <c r="L34" i="1"/>
  <c r="M34" i="1"/>
  <c r="N34" i="1"/>
  <c r="O34" i="1"/>
  <c r="P34" i="1"/>
  <c r="E35" i="1"/>
  <c r="F35" i="1"/>
  <c r="G35" i="1"/>
  <c r="H35" i="1"/>
  <c r="I35" i="1"/>
  <c r="J35" i="1"/>
  <c r="K35" i="1"/>
  <c r="L35" i="1"/>
  <c r="M35" i="1"/>
  <c r="N35" i="1"/>
  <c r="O35" i="1"/>
  <c r="P35" i="1"/>
  <c r="E36" i="1"/>
  <c r="F36" i="1"/>
  <c r="G36" i="1"/>
  <c r="H36" i="1"/>
  <c r="I36" i="1"/>
  <c r="J36" i="1"/>
  <c r="K36" i="1"/>
  <c r="L36" i="1"/>
  <c r="M36" i="1"/>
  <c r="N36" i="1"/>
  <c r="O36" i="1"/>
  <c r="P36" i="1"/>
  <c r="E37" i="1"/>
  <c r="F37" i="1"/>
  <c r="G37" i="1"/>
  <c r="H37" i="1"/>
  <c r="I37" i="1"/>
  <c r="J37" i="1"/>
  <c r="K37" i="1"/>
  <c r="L37" i="1"/>
  <c r="M37" i="1"/>
  <c r="N37" i="1"/>
  <c r="O37" i="1"/>
  <c r="P37" i="1"/>
  <c r="E38" i="1"/>
  <c r="F38" i="1"/>
  <c r="G38" i="1"/>
  <c r="H38" i="1"/>
  <c r="I38" i="1"/>
  <c r="J38" i="1"/>
  <c r="K38" i="1"/>
  <c r="L38" i="1"/>
  <c r="M38" i="1"/>
  <c r="N38" i="1"/>
  <c r="O38" i="1"/>
  <c r="P38" i="1"/>
  <c r="E39" i="1"/>
  <c r="F39" i="1"/>
  <c r="G39" i="1"/>
  <c r="H39" i="1"/>
  <c r="I39" i="1"/>
  <c r="J39" i="1"/>
  <c r="K39" i="1"/>
  <c r="L39" i="1"/>
  <c r="M39" i="1"/>
  <c r="N39" i="1"/>
  <c r="O39" i="1"/>
  <c r="P39" i="1"/>
  <c r="E40" i="1"/>
  <c r="F40" i="1"/>
  <c r="G40" i="1"/>
  <c r="H40" i="1"/>
  <c r="I40" i="1"/>
  <c r="J40" i="1"/>
  <c r="K40" i="1"/>
  <c r="L40" i="1"/>
  <c r="M40" i="1"/>
  <c r="N40" i="1"/>
  <c r="O40" i="1"/>
  <c r="P40" i="1"/>
  <c r="E41" i="1"/>
  <c r="F41" i="1"/>
  <c r="G41" i="1"/>
  <c r="H41" i="1"/>
  <c r="I41" i="1"/>
  <c r="J41" i="1"/>
  <c r="K41" i="1"/>
  <c r="L41" i="1"/>
  <c r="M41" i="1"/>
  <c r="N41" i="1"/>
  <c r="O41" i="1"/>
  <c r="P41" i="1"/>
  <c r="E42" i="1"/>
  <c r="F42" i="1"/>
  <c r="G42" i="1"/>
  <c r="H42" i="1"/>
  <c r="I42" i="1"/>
  <c r="J42" i="1"/>
  <c r="K42" i="1"/>
  <c r="L42" i="1"/>
  <c r="M42" i="1"/>
  <c r="N42" i="1"/>
  <c r="O42" i="1"/>
  <c r="P42" i="1"/>
  <c r="E43" i="1"/>
  <c r="F43" i="1"/>
  <c r="G43" i="1"/>
  <c r="H43" i="1"/>
  <c r="I43" i="1"/>
  <c r="J43" i="1"/>
  <c r="K43" i="1"/>
  <c r="L43" i="1"/>
  <c r="M43" i="1"/>
  <c r="N43" i="1"/>
  <c r="O43" i="1"/>
  <c r="P43" i="1"/>
  <c r="E44" i="1"/>
  <c r="F44" i="1"/>
  <c r="G44" i="1"/>
  <c r="H44" i="1"/>
  <c r="I44" i="1"/>
  <c r="J44" i="1"/>
  <c r="K44" i="1"/>
  <c r="L44" i="1"/>
  <c r="M44" i="1"/>
  <c r="N44" i="1"/>
  <c r="O44" i="1"/>
  <c r="P44" i="1"/>
  <c r="E45" i="1"/>
  <c r="F45" i="1"/>
  <c r="G45" i="1"/>
  <c r="H45" i="1"/>
  <c r="I45" i="1"/>
  <c r="J45" i="1"/>
  <c r="K45" i="1"/>
  <c r="L45" i="1"/>
  <c r="M45" i="1"/>
  <c r="N45" i="1"/>
  <c r="O45" i="1"/>
  <c r="P45" i="1"/>
  <c r="E46" i="1"/>
  <c r="F46" i="1"/>
  <c r="G46" i="1"/>
  <c r="H46" i="1"/>
  <c r="I46" i="1"/>
  <c r="J46" i="1"/>
  <c r="K46" i="1"/>
  <c r="L46" i="1"/>
  <c r="M46" i="1"/>
  <c r="N46" i="1"/>
  <c r="O46" i="1"/>
  <c r="P46" i="1"/>
  <c r="E47" i="1"/>
  <c r="F47" i="1"/>
  <c r="G47" i="1"/>
  <c r="H47" i="1"/>
  <c r="I47" i="1"/>
  <c r="J47" i="1"/>
  <c r="K47" i="1"/>
  <c r="L47" i="1"/>
  <c r="M47" i="1"/>
  <c r="N47" i="1"/>
  <c r="O47" i="1"/>
  <c r="P47" i="1"/>
  <c r="E48" i="1"/>
  <c r="F48" i="1"/>
  <c r="G48" i="1"/>
  <c r="H48" i="1"/>
  <c r="I48" i="1"/>
  <c r="J48" i="1"/>
  <c r="K48" i="1"/>
  <c r="L48" i="1"/>
  <c r="M48" i="1"/>
  <c r="N48" i="1"/>
  <c r="O48" i="1"/>
  <c r="P48" i="1"/>
  <c r="E49" i="1"/>
  <c r="F49" i="1"/>
  <c r="G49" i="1"/>
  <c r="H49" i="1"/>
  <c r="I49" i="1"/>
  <c r="J49" i="1"/>
  <c r="K49" i="1"/>
  <c r="L49" i="1"/>
  <c r="M49" i="1"/>
  <c r="N49" i="1"/>
  <c r="O49" i="1"/>
  <c r="P49" i="1"/>
  <c r="E50" i="1"/>
  <c r="F50" i="1"/>
  <c r="G50" i="1"/>
  <c r="H50" i="1"/>
  <c r="I50" i="1"/>
  <c r="J50" i="1"/>
  <c r="K50" i="1"/>
  <c r="L50" i="1"/>
  <c r="M50" i="1"/>
  <c r="N50" i="1"/>
  <c r="O50" i="1"/>
  <c r="P50" i="1"/>
  <c r="E51" i="1"/>
  <c r="F51" i="1"/>
  <c r="G51" i="1"/>
  <c r="H51" i="1"/>
  <c r="I51" i="1"/>
  <c r="J51" i="1"/>
  <c r="K51" i="1"/>
  <c r="L51" i="1"/>
  <c r="M51" i="1"/>
  <c r="N51" i="1"/>
  <c r="O51" i="1"/>
  <c r="P51" i="1"/>
  <c r="E52" i="1"/>
  <c r="F52" i="1"/>
  <c r="G52" i="1"/>
  <c r="H52" i="1"/>
  <c r="I52" i="1"/>
  <c r="J52" i="1"/>
  <c r="K52" i="1"/>
  <c r="L52" i="1"/>
  <c r="M52" i="1"/>
  <c r="N52" i="1"/>
  <c r="O52" i="1"/>
  <c r="P52" i="1"/>
  <c r="D30" i="1"/>
  <c r="D31" i="1"/>
  <c r="D32" i="1"/>
  <c r="D33" i="1"/>
  <c r="D35" i="1"/>
  <c r="D36" i="1"/>
  <c r="D37" i="1"/>
  <c r="D38" i="1"/>
  <c r="D39" i="1"/>
  <c r="D40" i="1"/>
  <c r="D41" i="1"/>
  <c r="D43" i="1"/>
  <c r="D44" i="1"/>
  <c r="D45" i="1"/>
  <c r="D46" i="1"/>
  <c r="D47" i="1"/>
  <c r="D50" i="1"/>
  <c r="D51" i="1"/>
  <c r="D52" i="1"/>
  <c r="D29" i="1"/>
</calcChain>
</file>

<file path=xl/sharedStrings.xml><?xml version="1.0" encoding="utf-8"?>
<sst xmlns="http://schemas.openxmlformats.org/spreadsheetml/2006/main" count="63" uniqueCount="25">
  <si>
    <t>product</t>
  </si>
  <si>
    <t>feedstock</t>
  </si>
  <si>
    <t>fermentation cell mass yield</t>
  </si>
  <si>
    <t>feedstock unit price</t>
  </si>
  <si>
    <t>feedstock capacity</t>
  </si>
  <si>
    <t>operating time</t>
  </si>
  <si>
    <t>natural gas unit price</t>
  </si>
  <si>
    <t>CSL unit price</t>
  </si>
  <si>
    <t>CSL loading</t>
  </si>
  <si>
    <t>electricity unit price</t>
  </si>
  <si>
    <t>inoculum ratio</t>
  </si>
  <si>
    <t>seed train fermentation ratio</t>
  </si>
  <si>
    <t>product storage time</t>
  </si>
  <si>
    <t>boiler efficiency</t>
  </si>
  <si>
    <t>turbogenerator efficiency</t>
  </si>
  <si>
    <t>TAL</t>
  </si>
  <si>
    <t>glucose</t>
  </si>
  <si>
    <t>sugarcane</t>
  </si>
  <si>
    <t>cornstover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</si>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</sst>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2" fontId="1" fillId="0" borderId="1" xfId="0" applyNumberFormat="1" applyFont="1" applyBorder="1" applyAlignment="1">
      <alignment horizontal="center" vertical="top" wrapText="1"/>
    </xf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2"/>
  <sheetViews>
    <sheetView tabSelected="1" workbookViewId="0">
      <selection activeCell="L26" sqref="L26"/>
    </sheetView>
  </sheetViews>
  <sheetFormatPr defaultRowHeight="14.5" x14ac:dyDescent="0.35"/>
  <cols>
    <col min="2" max="2" width="19.26953125" customWidth="1"/>
  </cols>
  <sheetData>
    <row r="1" spans="1:16" s="2" customFormat="1" ht="58" x14ac:dyDescent="0.35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</row>
    <row r="2" spans="1:16" x14ac:dyDescent="0.35">
      <c r="A2" s="1">
        <v>0</v>
      </c>
      <c r="B2" s="4" t="s">
        <v>15</v>
      </c>
      <c r="C2" s="4" t="s">
        <v>16</v>
      </c>
      <c r="D2" s="4">
        <v>0.36393361573446292</v>
      </c>
      <c r="E2" s="4">
        <v>9.0681962727850909E-4</v>
      </c>
      <c r="F2" s="4">
        <v>0.25909342037368149</v>
      </c>
      <c r="G2" s="4">
        <v>-7.2202560810243246E-2</v>
      </c>
      <c r="H2" s="4">
        <v>-6.2382009528038108E-3</v>
      </c>
      <c r="I2" s="4">
        <v>1.168699074796299E-2</v>
      </c>
      <c r="J2" s="4">
        <v>-4.6405913623654503E-2</v>
      </c>
      <c r="K2" s="4">
        <v>-2.2781851127404509E-3</v>
      </c>
      <c r="L2" s="4">
        <v>-3.3415813663254649E-3</v>
      </c>
      <c r="M2" s="4">
        <v>-6.9382645530582127E-2</v>
      </c>
      <c r="N2" s="4">
        <v>-6.6763179052716212E-2</v>
      </c>
      <c r="O2" s="4">
        <v>3.705134820539282E-3</v>
      </c>
      <c r="P2" s="4">
        <v>-4.8228672914691663E-2</v>
      </c>
    </row>
    <row r="3" spans="1:16" x14ac:dyDescent="0.35">
      <c r="A3" s="1">
        <v>1</v>
      </c>
      <c r="B3" s="4" t="s">
        <v>15</v>
      </c>
      <c r="C3" s="4" t="s">
        <v>17</v>
      </c>
      <c r="D3" s="4">
        <v>0.3041825927303709</v>
      </c>
      <c r="E3" s="4">
        <v>2.625389701558806E-2</v>
      </c>
      <c r="F3" s="4">
        <v>0.20909526838107351</v>
      </c>
      <c r="G3" s="4">
        <v>-0.41191067164268658</v>
      </c>
      <c r="H3" s="4">
        <v>1.532818931275725E-2</v>
      </c>
      <c r="I3" s="4">
        <v>-3.663182652730611E-3</v>
      </c>
      <c r="J3" s="4">
        <v>-0.15427223308893229</v>
      </c>
      <c r="K3" s="4">
        <v>1.047460189840759E-2</v>
      </c>
      <c r="L3" s="4">
        <v>-1.575769503078012E-2</v>
      </c>
      <c r="M3" s="4">
        <v>-7.5511118044472178E-2</v>
      </c>
      <c r="N3" s="4">
        <v>-7.424756099024396E-2</v>
      </c>
      <c r="O3" s="4">
        <v>3.204800019200077E-2</v>
      </c>
      <c r="P3" s="4">
        <v>-5.8508490033960137E-2</v>
      </c>
    </row>
    <row r="4" spans="1:16" x14ac:dyDescent="0.35">
      <c r="A4" s="1">
        <v>2</v>
      </c>
      <c r="B4" s="4" t="s">
        <v>15</v>
      </c>
      <c r="C4" s="4" t="s">
        <v>18</v>
      </c>
      <c r="D4" s="4">
        <v>0.43280381121524492</v>
      </c>
      <c r="E4" s="4">
        <v>-5.6746786987147951E-3</v>
      </c>
      <c r="F4" s="4">
        <v>0.21668573074292299</v>
      </c>
      <c r="G4" s="4">
        <v>-6.5885063540254155E-2</v>
      </c>
      <c r="H4" s="4">
        <v>1.927822111288445E-2</v>
      </c>
      <c r="I4" s="4">
        <v>-4.035174540698163E-2</v>
      </c>
      <c r="J4" s="4">
        <v>-0.1379144396577586</v>
      </c>
      <c r="K4" s="4">
        <v>7.3902055608222432E-3</v>
      </c>
      <c r="L4" s="4">
        <v>7.9759999039996157E-3</v>
      </c>
      <c r="M4" s="4">
        <v>-6.6818283273133092E-2</v>
      </c>
      <c r="N4" s="4">
        <v>-6.5289477157908629E-2</v>
      </c>
      <c r="O4" s="4">
        <v>1.470293881175525E-2</v>
      </c>
      <c r="P4" s="4">
        <v>-2.5018564074256299E-2</v>
      </c>
    </row>
    <row r="5" spans="1:16" x14ac:dyDescent="0.35">
      <c r="A5" s="1">
        <v>3</v>
      </c>
      <c r="B5" s="4" t="s">
        <v>15</v>
      </c>
      <c r="C5" s="4" t="s">
        <v>19</v>
      </c>
      <c r="D5" s="4">
        <v>0.36839196956787829</v>
      </c>
      <c r="E5" s="4">
        <v>-1.13815175260701E-2</v>
      </c>
      <c r="F5" s="4">
        <v>0.25430549722198892</v>
      </c>
      <c r="G5" s="4">
        <v>-5.0896907587630352E-2</v>
      </c>
      <c r="H5" s="4">
        <v>1.261089844359378E-2</v>
      </c>
      <c r="I5" s="4">
        <v>-5.4969819879279521E-4</v>
      </c>
      <c r="J5" s="4">
        <v>-8.0948579794319173E-2</v>
      </c>
      <c r="K5" s="4">
        <v>-4.7910911643646572E-3</v>
      </c>
      <c r="L5" s="4">
        <v>-1.097284389137557E-3</v>
      </c>
      <c r="M5" s="4">
        <v>-7.5095244380977519E-2</v>
      </c>
      <c r="N5" s="4">
        <v>-7.0622394489577953E-2</v>
      </c>
      <c r="O5" s="4">
        <v>1.6739394957579829E-2</v>
      </c>
      <c r="P5" s="4">
        <v>-2.9438037752151008E-2</v>
      </c>
    </row>
    <row r="6" spans="1:16" x14ac:dyDescent="0.35">
      <c r="A6" s="1">
        <v>4</v>
      </c>
      <c r="B6" s="4" t="s">
        <v>20</v>
      </c>
      <c r="C6" s="4" t="s">
        <v>16</v>
      </c>
      <c r="D6" s="4">
        <v>0.15012117648470591</v>
      </c>
      <c r="E6" s="4">
        <v>-2.3403261613046449E-2</v>
      </c>
      <c r="F6" s="4">
        <v>3.8119736478945919E-2</v>
      </c>
      <c r="G6" s="4">
        <v>-0.17239854559418241</v>
      </c>
      <c r="H6" s="4">
        <v>4.1522086088344352E-3</v>
      </c>
      <c r="I6" s="4">
        <v>-4.1853959415837673E-2</v>
      </c>
      <c r="J6" s="4">
        <v>-7.2803043212172847E-2</v>
      </c>
      <c r="K6" s="4">
        <v>-1.9990927963711859E-2</v>
      </c>
      <c r="L6" s="4">
        <v>3.4979851919407667E-2</v>
      </c>
      <c r="M6" s="4">
        <v>-5.076797907191629E-2</v>
      </c>
      <c r="N6" s="4">
        <v>2.324668498673995E-2</v>
      </c>
      <c r="O6" s="4">
        <v>-5.3634358537434153E-2</v>
      </c>
      <c r="P6" s="4">
        <v>3.8802395209580841E-3</v>
      </c>
    </row>
    <row r="7" spans="1:16" x14ac:dyDescent="0.35">
      <c r="A7" s="1">
        <v>5</v>
      </c>
      <c r="B7" s="4" t="s">
        <v>20</v>
      </c>
      <c r="C7" s="4" t="s">
        <v>17</v>
      </c>
      <c r="D7" s="4">
        <v>8.7867327469309878E-2</v>
      </c>
      <c r="E7" s="4">
        <v>-2.188242352969412E-2</v>
      </c>
      <c r="F7" s="4">
        <v>0.10184114336457351</v>
      </c>
      <c r="G7" s="4">
        <v>-0.56543016572066285</v>
      </c>
      <c r="H7" s="4">
        <v>-1.7205188820755279E-3</v>
      </c>
      <c r="I7" s="4">
        <v>-7.4584042336169346E-2</v>
      </c>
      <c r="J7" s="4">
        <v>-0.1165729782919132</v>
      </c>
      <c r="K7" s="4">
        <v>7.3563174252697008E-3</v>
      </c>
      <c r="L7" s="4">
        <v>4.1956775827103311E-2</v>
      </c>
      <c r="M7" s="4">
        <v>-2.5540902163608659E-2</v>
      </c>
      <c r="N7" s="4">
        <v>1.9838671354685419E-2</v>
      </c>
      <c r="O7" s="4">
        <v>-2.6243432973731891E-2</v>
      </c>
      <c r="P7" s="4">
        <v>3.0424345697382789E-2</v>
      </c>
    </row>
    <row r="8" spans="1:16" x14ac:dyDescent="0.35">
      <c r="A8" s="1">
        <v>6</v>
      </c>
      <c r="B8" s="4" t="s">
        <v>20</v>
      </c>
      <c r="C8" s="4" t="s">
        <v>18</v>
      </c>
      <c r="D8" s="4">
        <v>0.1645446581786327</v>
      </c>
      <c r="E8" s="4">
        <v>-2.849185796743187E-2</v>
      </c>
      <c r="F8" s="4">
        <v>9.1920559682238723E-2</v>
      </c>
      <c r="G8" s="4">
        <v>-0.153185028740115</v>
      </c>
      <c r="H8" s="4">
        <v>9.4617978471913885E-4</v>
      </c>
      <c r="I8" s="4">
        <v>-6.2951867807471223E-2</v>
      </c>
      <c r="J8" s="4">
        <v>-0.1055311101244405</v>
      </c>
      <c r="K8" s="4">
        <v>-2.9394645578582311E-2</v>
      </c>
      <c r="L8" s="4">
        <v>5.1075180300721203E-2</v>
      </c>
      <c r="M8" s="4">
        <v>-5.003252013008052E-2</v>
      </c>
      <c r="N8" s="4">
        <v>1.6775395101580409E-2</v>
      </c>
      <c r="O8" s="4">
        <v>-5.228680114720459E-2</v>
      </c>
      <c r="P8" s="4">
        <v>-2.971595886383546E-3</v>
      </c>
    </row>
    <row r="9" spans="1:16" x14ac:dyDescent="0.35">
      <c r="A9" s="1">
        <v>7</v>
      </c>
      <c r="B9" s="4" t="s">
        <v>20</v>
      </c>
      <c r="C9" s="4" t="s">
        <v>19</v>
      </c>
      <c r="D9" s="4">
        <v>0.17159127836511351</v>
      </c>
      <c r="E9" s="4">
        <v>-2.8138288553154211E-2</v>
      </c>
      <c r="F9" s="4">
        <v>9.9043788175152705E-2</v>
      </c>
      <c r="G9" s="4">
        <v>-0.15815564062256249</v>
      </c>
      <c r="H9" s="4">
        <v>2.026760107040428E-3</v>
      </c>
      <c r="I9" s="4">
        <v>-5.0565418261673052E-2</v>
      </c>
      <c r="J9" s="4">
        <v>-8.6830427321709286E-2</v>
      </c>
      <c r="K9" s="4">
        <v>-2.812379249516998E-2</v>
      </c>
      <c r="L9" s="4">
        <v>4.6418681674726701E-2</v>
      </c>
      <c r="M9" s="4">
        <v>-3.8511994047976193E-2</v>
      </c>
      <c r="N9" s="4">
        <v>1.819140076560306E-2</v>
      </c>
      <c r="O9" s="4">
        <v>-4.5067668270673079E-2</v>
      </c>
      <c r="P9" s="4">
        <v>3.9503198012792052E-3</v>
      </c>
    </row>
    <row r="10" spans="1:16" x14ac:dyDescent="0.35">
      <c r="A10" s="1">
        <v>8</v>
      </c>
      <c r="B10" s="4" t="s">
        <v>21</v>
      </c>
      <c r="C10" s="4" t="s">
        <v>16</v>
      </c>
      <c r="D10" s="4">
        <v>0.34889745958983842</v>
      </c>
      <c r="E10" s="4">
        <v>-6.508634034536138E-3</v>
      </c>
      <c r="F10" s="4">
        <v>-8.418945675782703E-3</v>
      </c>
      <c r="G10" s="4">
        <v>-0.41379602318409281</v>
      </c>
      <c r="H10" s="4">
        <v>-0.13792231168924679</v>
      </c>
      <c r="I10" s="4">
        <v>8.0144960579842314E-3</v>
      </c>
      <c r="J10" s="4">
        <v>1.089709958839835E-2</v>
      </c>
      <c r="K10" s="4">
        <v>9.9237996951987803E-2</v>
      </c>
      <c r="L10" s="4">
        <v>6.2698810795243184E-2</v>
      </c>
      <c r="M10" s="4">
        <v>-4.7806463225852913E-2</v>
      </c>
      <c r="N10" s="4">
        <v>-1.8626186504746019E-2</v>
      </c>
      <c r="O10" s="4">
        <v>0.13014916059664239</v>
      </c>
      <c r="P10" s="4">
        <v>0.27270598682394731</v>
      </c>
    </row>
    <row r="11" spans="1:16" x14ac:dyDescent="0.35">
      <c r="A11" s="1">
        <v>9</v>
      </c>
      <c r="B11" s="4" t="s">
        <v>21</v>
      </c>
      <c r="C11" s="4" t="s">
        <v>17</v>
      </c>
      <c r="D11" s="4">
        <v>0.14197919191676769</v>
      </c>
      <c r="E11" s="4">
        <v>1.0211848847395391E-2</v>
      </c>
      <c r="F11" s="4">
        <v>-5.7492709970839877E-2</v>
      </c>
      <c r="G11" s="4">
        <v>-0.71578414313657257</v>
      </c>
      <c r="H11" s="4">
        <v>-0.32806681626726508</v>
      </c>
      <c r="I11" s="4">
        <v>5.5491485965943867E-2</v>
      </c>
      <c r="J11" s="4">
        <v>4.5225684902739607E-2</v>
      </c>
      <c r="K11" s="4">
        <v>0.15779496717986871</v>
      </c>
      <c r="L11" s="4">
        <v>9.3848055392221574E-2</v>
      </c>
      <c r="M11" s="4">
        <v>-2.0986163944655779E-2</v>
      </c>
      <c r="N11" s="4">
        <v>-3.8196344785379137E-2</v>
      </c>
      <c r="O11" s="4">
        <v>0.23824636098544391</v>
      </c>
      <c r="P11" s="4">
        <v>0.38603146412585648</v>
      </c>
    </row>
    <row r="12" spans="1:16" x14ac:dyDescent="0.35">
      <c r="A12" s="1">
        <v>10</v>
      </c>
      <c r="B12" s="4" t="s">
        <v>21</v>
      </c>
      <c r="C12" s="4" t="s">
        <v>18</v>
      </c>
      <c r="D12" s="4">
        <v>0.3013429973719895</v>
      </c>
      <c r="E12" s="4">
        <v>8.8942435769743082E-3</v>
      </c>
      <c r="F12" s="4">
        <v>-4.8067968271873089E-2</v>
      </c>
      <c r="G12" s="4">
        <v>-0.19624753699014799</v>
      </c>
      <c r="H12" s="4">
        <v>-0.41289793959175841</v>
      </c>
      <c r="I12" s="4">
        <v>1.8139752559010239E-2</v>
      </c>
      <c r="J12" s="4">
        <v>-2.1322453289813161E-2</v>
      </c>
      <c r="K12" s="4">
        <v>0.1291450925803703</v>
      </c>
      <c r="L12" s="4">
        <v>0.1032781731126925</v>
      </c>
      <c r="M12" s="4">
        <v>-4.7768927075708303E-2</v>
      </c>
      <c r="N12" s="4">
        <v>-1.078429913719655E-2</v>
      </c>
      <c r="O12" s="4">
        <v>0.63343818175272704</v>
      </c>
      <c r="P12" s="4">
        <v>0.43929910119640481</v>
      </c>
    </row>
    <row r="13" spans="1:16" x14ac:dyDescent="0.35">
      <c r="A13" s="1">
        <v>11</v>
      </c>
      <c r="B13" s="4" t="s">
        <v>21</v>
      </c>
      <c r="C13" s="4" t="s">
        <v>19</v>
      </c>
      <c r="D13" s="4">
        <v>0.41678912315649258</v>
      </c>
      <c r="E13" s="4">
        <v>-3.9669278677114707E-3</v>
      </c>
      <c r="F13" s="4">
        <v>-0.1005934263737055</v>
      </c>
      <c r="G13" s="4">
        <v>-0.35820200880803521</v>
      </c>
      <c r="H13" s="4">
        <v>-0.30054734618938478</v>
      </c>
      <c r="I13" s="4">
        <v>4.6420985683942734E-3</v>
      </c>
      <c r="J13" s="4">
        <v>1.4157752631010521E-2</v>
      </c>
      <c r="K13" s="4">
        <v>0.10511322045288179</v>
      </c>
      <c r="L13" s="4">
        <v>8.8977571910287642E-2</v>
      </c>
      <c r="M13" s="4">
        <v>-5.0317449269797081E-2</v>
      </c>
      <c r="N13" s="4">
        <v>-1.770794283177133E-2</v>
      </c>
      <c r="O13" s="4">
        <v>0.38721658886635552</v>
      </c>
      <c r="P13" s="4">
        <v>0.3575419101676407</v>
      </c>
    </row>
    <row r="14" spans="1:16" x14ac:dyDescent="0.35">
      <c r="A14" s="1">
        <v>12</v>
      </c>
      <c r="B14" s="4" t="s">
        <v>22</v>
      </c>
      <c r="C14" s="4" t="s">
        <v>16</v>
      </c>
      <c r="D14" s="4">
        <v>0.24480462011550291</v>
      </c>
      <c r="E14" s="4">
        <v>4.4416110402760072E-3</v>
      </c>
      <c r="F14" s="4">
        <v>5.212630315757894E-3</v>
      </c>
      <c r="G14" s="4">
        <v>-0.28132903322583058</v>
      </c>
      <c r="H14" s="4">
        <v>5.3926348158703967E-3</v>
      </c>
      <c r="I14" s="4">
        <v>8.6966174154353856E-2</v>
      </c>
      <c r="J14" s="4">
        <v>3.8471461786544661E-2</v>
      </c>
      <c r="K14" s="4">
        <v>0.16597464936623421</v>
      </c>
      <c r="L14" s="4">
        <v>4.8446711167779197E-2</v>
      </c>
      <c r="M14" s="4">
        <v>-4.2773569339233479E-2</v>
      </c>
      <c r="N14" s="4">
        <v>4.0124503112577807E-2</v>
      </c>
      <c r="O14" s="4">
        <v>0.10694067351683791</v>
      </c>
      <c r="P14" s="4">
        <v>0.2380604515112878</v>
      </c>
    </row>
    <row r="15" spans="1:16" x14ac:dyDescent="0.35">
      <c r="A15" s="1">
        <v>13</v>
      </c>
      <c r="B15" s="4" t="s">
        <v>22</v>
      </c>
      <c r="C15" s="4" t="s">
        <v>17</v>
      </c>
      <c r="D15" s="4">
        <v>9.349433735843396E-2</v>
      </c>
      <c r="E15" s="4">
        <v>5.3521338033450827E-2</v>
      </c>
      <c r="F15" s="4">
        <v>5.1676291907297679E-3</v>
      </c>
      <c r="G15" s="4">
        <v>-0.59417685442136048</v>
      </c>
      <c r="H15" s="4">
        <v>-0.15850146253656339</v>
      </c>
      <c r="I15" s="4">
        <v>5.0210755268881732E-2</v>
      </c>
      <c r="J15" s="4">
        <v>3.7295432385809638E-2</v>
      </c>
      <c r="K15" s="4">
        <v>0.23845646141153529</v>
      </c>
      <c r="L15" s="4">
        <v>-3.27443186079652E-2</v>
      </c>
      <c r="M15" s="4">
        <v>-4.1365034125853149E-2</v>
      </c>
      <c r="N15" s="4">
        <v>1.946748668716718E-2</v>
      </c>
      <c r="O15" s="4">
        <v>0.27367584189604738</v>
      </c>
      <c r="P15" s="4">
        <v>0.39725193129828251</v>
      </c>
    </row>
    <row r="16" spans="1:16" x14ac:dyDescent="0.35">
      <c r="A16" s="1">
        <v>14</v>
      </c>
      <c r="B16" s="4" t="s">
        <v>22</v>
      </c>
      <c r="C16" s="4" t="s">
        <v>18</v>
      </c>
      <c r="D16" s="4">
        <v>0.1834530863271582</v>
      </c>
      <c r="E16" s="4">
        <v>4.5092627315682893E-2</v>
      </c>
      <c r="F16" s="4">
        <v>-0.1207065176629416</v>
      </c>
      <c r="G16" s="4">
        <v>-9.021225530638266E-2</v>
      </c>
      <c r="H16" s="4">
        <v>-0.25424885622140547</v>
      </c>
      <c r="I16" s="4">
        <v>4.2485562139053468E-2</v>
      </c>
      <c r="J16" s="4">
        <v>-1.1878796969924251E-2</v>
      </c>
      <c r="K16" s="4">
        <v>0.2002955073876847</v>
      </c>
      <c r="L16" s="4">
        <v>-4.1993549838745967E-2</v>
      </c>
      <c r="M16" s="4">
        <v>-6.7146178654466357E-2</v>
      </c>
      <c r="N16" s="4">
        <v>-1.4515862896572409E-2</v>
      </c>
      <c r="O16" s="4">
        <v>0.65278331958298963</v>
      </c>
      <c r="P16" s="4">
        <v>0.4211475286882172</v>
      </c>
    </row>
    <row r="17" spans="1:16" x14ac:dyDescent="0.35">
      <c r="A17" s="1">
        <v>15</v>
      </c>
      <c r="B17" s="4" t="s">
        <v>22</v>
      </c>
      <c r="C17" s="4" t="s">
        <v>19</v>
      </c>
      <c r="D17" s="4">
        <v>0.27110927773194332</v>
      </c>
      <c r="E17" s="4">
        <v>1.5894397359934E-2</v>
      </c>
      <c r="F17" s="4">
        <v>-8.8203705092627316E-2</v>
      </c>
      <c r="G17" s="4">
        <v>-0.2279606990174754</v>
      </c>
      <c r="H17" s="4">
        <v>-8.2934073351833795E-2</v>
      </c>
      <c r="I17" s="4">
        <v>5.6537913447836187E-2</v>
      </c>
      <c r="J17" s="4">
        <v>1.3522838070951769E-2</v>
      </c>
      <c r="K17" s="4">
        <v>0.1978774469361734</v>
      </c>
      <c r="L17" s="4">
        <v>2.3466586664666621E-2</v>
      </c>
      <c r="M17" s="4">
        <v>-4.9832745818645469E-2</v>
      </c>
      <c r="N17" s="4">
        <v>1.3524338108452711E-2</v>
      </c>
      <c r="O17" s="4">
        <v>0.32951473786844671</v>
      </c>
      <c r="P17" s="4">
        <v>0.31251781294532371</v>
      </c>
    </row>
    <row r="18" spans="1:16" x14ac:dyDescent="0.35">
      <c r="A18" s="1">
        <v>16</v>
      </c>
      <c r="B18" s="4" t="s">
        <v>23</v>
      </c>
      <c r="C18" s="4" t="s">
        <v>16</v>
      </c>
      <c r="D18" s="4">
        <v>0.30298412393649582</v>
      </c>
      <c r="E18" s="4">
        <v>-9.9455437821751279E-3</v>
      </c>
      <c r="F18" s="4">
        <v>4.5184404737618949E-2</v>
      </c>
      <c r="G18" s="4">
        <v>-0.39588119952479811</v>
      </c>
      <c r="H18" s="4">
        <v>5.0373801495205983E-2</v>
      </c>
      <c r="I18" s="4">
        <v>2.0812691250765E-2</v>
      </c>
      <c r="J18" s="4">
        <v>1.104714818859275E-2</v>
      </c>
      <c r="K18" s="4">
        <v>0.1268382993531974</v>
      </c>
      <c r="L18" s="4">
        <v>4.2159432637730553E-2</v>
      </c>
      <c r="M18" s="4">
        <v>-4.337767751071004E-2</v>
      </c>
      <c r="N18" s="4">
        <v>-3.1724190896763593E-2</v>
      </c>
      <c r="O18" s="4">
        <v>-2.0942003768015069E-2</v>
      </c>
      <c r="P18" s="4">
        <v>0.22257593030372119</v>
      </c>
    </row>
    <row r="19" spans="1:16" x14ac:dyDescent="0.35">
      <c r="A19" s="1">
        <v>17</v>
      </c>
      <c r="B19" s="4" t="s">
        <v>23</v>
      </c>
      <c r="C19" s="4" t="s">
        <v>17</v>
      </c>
      <c r="D19" s="4">
        <v>0.1171326605306421</v>
      </c>
      <c r="E19" s="4">
        <v>-4.2429289717158874E-3</v>
      </c>
      <c r="F19" s="4">
        <v>7.1562046248184991E-2</v>
      </c>
      <c r="G19" s="4">
        <v>-0.71264397057588236</v>
      </c>
      <c r="H19" s="4">
        <v>-0.17957611030444121</v>
      </c>
      <c r="I19" s="4">
        <v>5.5578078312313248E-2</v>
      </c>
      <c r="J19" s="4">
        <v>4.2789579158316632E-2</v>
      </c>
      <c r="K19" s="4">
        <v>0.16714578858315429</v>
      </c>
      <c r="L19" s="4">
        <v>5.9696206784827142E-2</v>
      </c>
      <c r="M19" s="4">
        <v>-3.0765627062508249E-2</v>
      </c>
      <c r="N19" s="4">
        <v>-5.8699434797739189E-2</v>
      </c>
      <c r="O19" s="4">
        <v>0.15709099636398549</v>
      </c>
      <c r="P19" s="4">
        <v>0.34844769779079121</v>
      </c>
    </row>
    <row r="20" spans="1:16" x14ac:dyDescent="0.35">
      <c r="A20" s="1">
        <v>18</v>
      </c>
      <c r="B20" s="4" t="s">
        <v>23</v>
      </c>
      <c r="C20" s="4" t="s">
        <v>18</v>
      </c>
      <c r="D20" s="4">
        <v>0.12727272727272729</v>
      </c>
      <c r="E20" s="4">
        <v>1.8181818181818181E-2</v>
      </c>
      <c r="F20" s="4">
        <v>0.1393939393939394</v>
      </c>
      <c r="G20" s="4">
        <v>0.1393939393939394</v>
      </c>
      <c r="H20" s="4">
        <v>-0.52727272727272723</v>
      </c>
      <c r="I20" s="4">
        <v>0.46666666666666667</v>
      </c>
      <c r="J20" s="4">
        <v>-0.28484848484848491</v>
      </c>
      <c r="K20" s="4">
        <v>0.47878787878787882</v>
      </c>
      <c r="L20" s="4">
        <v>6.0606060606060606E-3</v>
      </c>
      <c r="M20" s="4">
        <v>-6.0606060606060606E-3</v>
      </c>
      <c r="N20" s="4">
        <v>-0.64848484848484844</v>
      </c>
      <c r="O20" s="4">
        <v>0.74545454545454548</v>
      </c>
      <c r="P20" s="4">
        <v>0.62424242424242427</v>
      </c>
    </row>
    <row r="21" spans="1:16" x14ac:dyDescent="0.35">
      <c r="A21" s="1">
        <v>19</v>
      </c>
      <c r="B21" s="4" t="s">
        <v>23</v>
      </c>
      <c r="C21" s="4" t="s">
        <v>19</v>
      </c>
      <c r="D21" s="4">
        <v>-1.5415357661430649E-2</v>
      </c>
      <c r="E21" s="4">
        <v>-4.9073476293905174E-3</v>
      </c>
      <c r="F21" s="4">
        <v>-0.1023469693878775</v>
      </c>
      <c r="G21" s="4">
        <v>-0.33111953247812992</v>
      </c>
      <c r="H21" s="4">
        <v>-0.21116628466513859</v>
      </c>
      <c r="I21" s="4">
        <v>-1.028586514346057E-2</v>
      </c>
      <c r="J21" s="4">
        <v>5.7551270205080819E-3</v>
      </c>
      <c r="K21" s="4">
        <v>3.2646850587402347E-2</v>
      </c>
      <c r="L21" s="4">
        <v>6.1071412285649142E-2</v>
      </c>
      <c r="M21" s="4">
        <v>5.6078624314497257E-3</v>
      </c>
      <c r="N21" s="4">
        <v>-5.7351973407893629E-2</v>
      </c>
      <c r="O21" s="4">
        <v>0.13347490189960759</v>
      </c>
      <c r="P21" s="4">
        <v>8.7770463081852323E-2</v>
      </c>
    </row>
    <row r="22" spans="1:16" x14ac:dyDescent="0.35">
      <c r="A22" s="1">
        <v>20</v>
      </c>
      <c r="B22" s="4" t="s">
        <v>24</v>
      </c>
      <c r="C22" s="4" t="s">
        <v>16</v>
      </c>
      <c r="D22" s="4">
        <v>0.24897622440561021</v>
      </c>
      <c r="E22" s="4">
        <v>-9.9542488562214052E-3</v>
      </c>
      <c r="F22" s="4">
        <v>8.26745668641716E-2</v>
      </c>
      <c r="G22" s="4">
        <v>-0.30284857121428038</v>
      </c>
      <c r="H22" s="4">
        <v>0.19493587339683491</v>
      </c>
      <c r="I22" s="4">
        <v>9.5229880747018672E-2</v>
      </c>
      <c r="J22" s="4">
        <v>4.5941648541213527E-2</v>
      </c>
      <c r="K22" s="4">
        <v>0.14052951323783089</v>
      </c>
      <c r="L22" s="4">
        <v>5.6563414085352128E-2</v>
      </c>
      <c r="M22" s="4">
        <v>-1.318832970824271E-2</v>
      </c>
      <c r="N22" s="4">
        <v>8.1119027975699393E-2</v>
      </c>
      <c r="O22" s="4">
        <v>-4.0366009150228756E-3</v>
      </c>
      <c r="P22" s="4">
        <v>0.19955298882472061</v>
      </c>
    </row>
    <row r="23" spans="1:16" x14ac:dyDescent="0.35">
      <c r="A23" s="1">
        <v>21</v>
      </c>
      <c r="B23" s="4" t="s">
        <v>24</v>
      </c>
      <c r="C23" s="4" t="s">
        <v>17</v>
      </c>
      <c r="D23" s="4">
        <v>0.11726843171079281</v>
      </c>
      <c r="E23" s="4">
        <v>5.074026850671267E-2</v>
      </c>
      <c r="F23" s="4">
        <v>0.19353183829595741</v>
      </c>
      <c r="G23" s="4">
        <v>-0.70261006525163128</v>
      </c>
      <c r="H23" s="4">
        <v>0.1161944048601215</v>
      </c>
      <c r="I23" s="4">
        <v>4.3822095552388807E-2</v>
      </c>
      <c r="J23" s="4">
        <v>4.5749643741093533E-2</v>
      </c>
      <c r="K23" s="4">
        <v>0.1530653266331658</v>
      </c>
      <c r="L23" s="4">
        <v>-5.05617640441011E-2</v>
      </c>
      <c r="M23" s="4">
        <v>2.2088052201305029E-2</v>
      </c>
      <c r="N23" s="4">
        <v>1.788044701117528E-2</v>
      </c>
      <c r="O23" s="4">
        <v>0.16582764569114231</v>
      </c>
      <c r="P23" s="4">
        <v>0.22693917347933701</v>
      </c>
    </row>
    <row r="24" spans="1:16" x14ac:dyDescent="0.35">
      <c r="A24" s="1">
        <v>22</v>
      </c>
      <c r="B24" s="4" t="s">
        <v>24</v>
      </c>
      <c r="C24" s="4" t="s">
        <v>18</v>
      </c>
      <c r="D24" s="4">
        <v>0.43626640666016647</v>
      </c>
      <c r="E24" s="4">
        <v>8.3565589139728488E-2</v>
      </c>
      <c r="F24" s="4">
        <v>1.6767419185479641E-2</v>
      </c>
      <c r="G24" s="4">
        <v>-0.12708467711692789</v>
      </c>
      <c r="H24" s="4">
        <v>-6.1657541438535961E-2</v>
      </c>
      <c r="I24" s="4">
        <v>0.1485907147678692</v>
      </c>
      <c r="J24" s="4">
        <v>2.680567014175354E-2</v>
      </c>
      <c r="K24" s="4">
        <v>9.2478811970299252E-2</v>
      </c>
      <c r="L24" s="4">
        <v>-6.8095702392559812E-2</v>
      </c>
      <c r="M24" s="4">
        <v>2.3727593189829751E-2</v>
      </c>
      <c r="N24" s="4">
        <v>5.1799294982374559E-2</v>
      </c>
      <c r="O24" s="4">
        <v>0.18505962649066229</v>
      </c>
      <c r="P24" s="4">
        <v>0.1070186754668867</v>
      </c>
    </row>
    <row r="25" spans="1:16" x14ac:dyDescent="0.35">
      <c r="A25" s="1">
        <v>23</v>
      </c>
      <c r="B25" s="4" t="s">
        <v>24</v>
      </c>
      <c r="C25" s="4" t="s">
        <v>19</v>
      </c>
      <c r="D25" s="4">
        <v>0.21496137403435089</v>
      </c>
      <c r="E25" s="4">
        <v>3.0647266181654542E-2</v>
      </c>
      <c r="F25" s="4">
        <v>-2.102602565064127E-2</v>
      </c>
      <c r="G25" s="4">
        <v>-6.4218105452636315E-2</v>
      </c>
      <c r="H25" s="4">
        <v>0.16951623790594761</v>
      </c>
      <c r="I25" s="4">
        <v>9.9188479711992794E-2</v>
      </c>
      <c r="J25" s="4">
        <v>-9.2633315832895816E-2</v>
      </c>
      <c r="K25" s="4">
        <v>9.9401485037125925E-2</v>
      </c>
      <c r="L25" s="4">
        <v>-8.0493512337808451E-2</v>
      </c>
      <c r="M25" s="4">
        <v>4.6990174754368862E-2</v>
      </c>
      <c r="N25" s="4">
        <v>3.5432385809645237E-2</v>
      </c>
      <c r="O25" s="4">
        <v>-6.8959723993099825E-2</v>
      </c>
      <c r="P25" s="4">
        <v>0.1198004950123753</v>
      </c>
    </row>
    <row r="27" spans="1:16" x14ac:dyDescent="0.35">
      <c r="D27" s="5">
        <f>SUM(D29:D52)</f>
        <v>21</v>
      </c>
      <c r="E27" s="5">
        <f t="shared" ref="E27:P27" si="0">SUM(E29:E52)</f>
        <v>0</v>
      </c>
      <c r="F27" s="5">
        <f t="shared" si="0"/>
        <v>10</v>
      </c>
      <c r="G27" s="5">
        <f t="shared" si="0"/>
        <v>19</v>
      </c>
      <c r="H27" s="5">
        <f t="shared" si="0"/>
        <v>12</v>
      </c>
      <c r="I27" s="5">
        <f t="shared" si="0"/>
        <v>2</v>
      </c>
      <c r="J27" s="5">
        <f t="shared" si="0"/>
        <v>5</v>
      </c>
      <c r="K27" s="5">
        <f t="shared" si="0"/>
        <v>12</v>
      </c>
      <c r="L27" s="5">
        <f t="shared" si="0"/>
        <v>1</v>
      </c>
      <c r="M27" s="5">
        <f t="shared" si="0"/>
        <v>0</v>
      </c>
      <c r="N27" s="5">
        <f t="shared" si="0"/>
        <v>1</v>
      </c>
      <c r="O27" s="5">
        <f t="shared" si="0"/>
        <v>13</v>
      </c>
      <c r="P27" s="5">
        <f t="shared" si="0"/>
        <v>15</v>
      </c>
    </row>
    <row r="29" spans="1:16" x14ac:dyDescent="0.35">
      <c r="D29" s="5">
        <f>IF(ABS(D2)&gt;0.1, 1, 0)</f>
        <v>1</v>
      </c>
      <c r="E29" s="5">
        <f t="shared" ref="E29:P29" si="1">IF(ABS(E2)&gt;0.1, 1, 0)</f>
        <v>0</v>
      </c>
      <c r="F29" s="5">
        <f t="shared" si="1"/>
        <v>1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5">
        <f t="shared" si="1"/>
        <v>0</v>
      </c>
      <c r="O29" s="5">
        <f t="shared" si="1"/>
        <v>0</v>
      </c>
      <c r="P29" s="5">
        <f t="shared" si="1"/>
        <v>0</v>
      </c>
    </row>
    <row r="30" spans="1:16" x14ac:dyDescent="0.35">
      <c r="D30" s="5">
        <f t="shared" ref="D30:P52" si="2">IF(ABS(D3)&gt;0.1, 1, 0)</f>
        <v>1</v>
      </c>
      <c r="E30" s="5">
        <f t="shared" si="2"/>
        <v>0</v>
      </c>
      <c r="F30" s="5">
        <f t="shared" si="2"/>
        <v>1</v>
      </c>
      <c r="G30" s="5">
        <f t="shared" si="2"/>
        <v>1</v>
      </c>
      <c r="H30" s="5">
        <f t="shared" si="2"/>
        <v>0</v>
      </c>
      <c r="I30" s="5">
        <f t="shared" si="2"/>
        <v>0</v>
      </c>
      <c r="J30" s="5">
        <f t="shared" si="2"/>
        <v>1</v>
      </c>
      <c r="K30" s="5">
        <f t="shared" si="2"/>
        <v>0</v>
      </c>
      <c r="L30" s="5">
        <f t="shared" si="2"/>
        <v>0</v>
      </c>
      <c r="M30" s="5">
        <f t="shared" si="2"/>
        <v>0</v>
      </c>
      <c r="N30" s="5">
        <f t="shared" si="2"/>
        <v>0</v>
      </c>
      <c r="O30" s="5">
        <f t="shared" si="2"/>
        <v>0</v>
      </c>
      <c r="P30" s="5">
        <f t="shared" si="2"/>
        <v>0</v>
      </c>
    </row>
    <row r="31" spans="1:16" x14ac:dyDescent="0.35">
      <c r="D31" s="5">
        <f t="shared" si="2"/>
        <v>1</v>
      </c>
      <c r="E31" s="5">
        <f t="shared" si="2"/>
        <v>0</v>
      </c>
      <c r="F31" s="5">
        <f t="shared" si="2"/>
        <v>1</v>
      </c>
      <c r="G31" s="5">
        <f t="shared" si="2"/>
        <v>0</v>
      </c>
      <c r="H31" s="5">
        <f t="shared" si="2"/>
        <v>0</v>
      </c>
      <c r="I31" s="5">
        <f t="shared" si="2"/>
        <v>0</v>
      </c>
      <c r="J31" s="5">
        <f t="shared" si="2"/>
        <v>1</v>
      </c>
      <c r="K31" s="5">
        <f t="shared" si="2"/>
        <v>0</v>
      </c>
      <c r="L31" s="5">
        <f t="shared" si="2"/>
        <v>0</v>
      </c>
      <c r="M31" s="5">
        <f t="shared" si="2"/>
        <v>0</v>
      </c>
      <c r="N31" s="5">
        <f t="shared" si="2"/>
        <v>0</v>
      </c>
      <c r="O31" s="5">
        <f t="shared" si="2"/>
        <v>0</v>
      </c>
      <c r="P31" s="5">
        <f t="shared" si="2"/>
        <v>0</v>
      </c>
    </row>
    <row r="32" spans="1:16" x14ac:dyDescent="0.35">
      <c r="D32" s="5">
        <f t="shared" si="2"/>
        <v>1</v>
      </c>
      <c r="E32" s="5">
        <f t="shared" si="2"/>
        <v>0</v>
      </c>
      <c r="F32" s="5">
        <f t="shared" si="2"/>
        <v>1</v>
      </c>
      <c r="G32" s="5">
        <f t="shared" si="2"/>
        <v>0</v>
      </c>
      <c r="H32" s="5">
        <f t="shared" si="2"/>
        <v>0</v>
      </c>
      <c r="I32" s="5">
        <f t="shared" si="2"/>
        <v>0</v>
      </c>
      <c r="J32" s="5">
        <f t="shared" si="2"/>
        <v>0</v>
      </c>
      <c r="K32" s="5">
        <f t="shared" si="2"/>
        <v>0</v>
      </c>
      <c r="L32" s="5">
        <f t="shared" si="2"/>
        <v>0</v>
      </c>
      <c r="M32" s="5">
        <f t="shared" si="2"/>
        <v>0</v>
      </c>
      <c r="N32" s="5">
        <f t="shared" si="2"/>
        <v>0</v>
      </c>
      <c r="O32" s="5">
        <f t="shared" si="2"/>
        <v>0</v>
      </c>
      <c r="P32" s="5">
        <f t="shared" si="2"/>
        <v>0</v>
      </c>
    </row>
    <row r="33" spans="4:16" x14ac:dyDescent="0.35">
      <c r="D33" s="5">
        <f t="shared" si="2"/>
        <v>1</v>
      </c>
      <c r="E33" s="5">
        <f t="shared" si="2"/>
        <v>0</v>
      </c>
      <c r="F33" s="5">
        <f t="shared" si="2"/>
        <v>0</v>
      </c>
      <c r="G33" s="5">
        <f t="shared" si="2"/>
        <v>1</v>
      </c>
      <c r="H33" s="5">
        <f t="shared" si="2"/>
        <v>0</v>
      </c>
      <c r="I33" s="5">
        <f t="shared" si="2"/>
        <v>0</v>
      </c>
      <c r="J33" s="5">
        <f t="shared" si="2"/>
        <v>0</v>
      </c>
      <c r="K33" s="5">
        <f t="shared" si="2"/>
        <v>0</v>
      </c>
      <c r="L33" s="5">
        <f t="shared" si="2"/>
        <v>0</v>
      </c>
      <c r="M33" s="5">
        <f t="shared" si="2"/>
        <v>0</v>
      </c>
      <c r="N33" s="5">
        <f t="shared" si="2"/>
        <v>0</v>
      </c>
      <c r="O33" s="5">
        <f t="shared" si="2"/>
        <v>0</v>
      </c>
      <c r="P33" s="5">
        <f t="shared" si="2"/>
        <v>0</v>
      </c>
    </row>
    <row r="34" spans="4:16" x14ac:dyDescent="0.35">
      <c r="D34" s="5">
        <f>IF(ABS(D7)&gt;0.1, 1, 0)</f>
        <v>0</v>
      </c>
      <c r="E34" s="5">
        <f t="shared" si="2"/>
        <v>0</v>
      </c>
      <c r="F34" s="5">
        <f t="shared" si="2"/>
        <v>1</v>
      </c>
      <c r="G34" s="5">
        <f t="shared" si="2"/>
        <v>1</v>
      </c>
      <c r="H34" s="5">
        <f t="shared" si="2"/>
        <v>0</v>
      </c>
      <c r="I34" s="5">
        <f t="shared" si="2"/>
        <v>0</v>
      </c>
      <c r="J34" s="5">
        <f t="shared" si="2"/>
        <v>1</v>
      </c>
      <c r="K34" s="5">
        <f t="shared" si="2"/>
        <v>0</v>
      </c>
      <c r="L34" s="5">
        <f t="shared" si="2"/>
        <v>0</v>
      </c>
      <c r="M34" s="5">
        <f t="shared" si="2"/>
        <v>0</v>
      </c>
      <c r="N34" s="5">
        <f t="shared" si="2"/>
        <v>0</v>
      </c>
      <c r="O34" s="5">
        <f t="shared" si="2"/>
        <v>0</v>
      </c>
      <c r="P34" s="5">
        <f t="shared" si="2"/>
        <v>0</v>
      </c>
    </row>
    <row r="35" spans="4:16" x14ac:dyDescent="0.35">
      <c r="D35" s="5">
        <f t="shared" si="2"/>
        <v>1</v>
      </c>
      <c r="E35" s="5">
        <f t="shared" si="2"/>
        <v>0</v>
      </c>
      <c r="F35" s="5">
        <f t="shared" si="2"/>
        <v>0</v>
      </c>
      <c r="G35" s="5">
        <f t="shared" si="2"/>
        <v>1</v>
      </c>
      <c r="H35" s="5">
        <f t="shared" si="2"/>
        <v>0</v>
      </c>
      <c r="I35" s="5">
        <f t="shared" si="2"/>
        <v>0</v>
      </c>
      <c r="J35" s="5">
        <f t="shared" si="2"/>
        <v>1</v>
      </c>
      <c r="K35" s="5">
        <f t="shared" si="2"/>
        <v>0</v>
      </c>
      <c r="L35" s="5">
        <f t="shared" si="2"/>
        <v>0</v>
      </c>
      <c r="M35" s="5">
        <f t="shared" si="2"/>
        <v>0</v>
      </c>
      <c r="N35" s="5">
        <f t="shared" si="2"/>
        <v>0</v>
      </c>
      <c r="O35" s="5">
        <f t="shared" si="2"/>
        <v>0</v>
      </c>
      <c r="P35" s="5">
        <f t="shared" si="2"/>
        <v>0</v>
      </c>
    </row>
    <row r="36" spans="4:16" x14ac:dyDescent="0.35">
      <c r="D36" s="5">
        <f t="shared" si="2"/>
        <v>1</v>
      </c>
      <c r="E36" s="5">
        <f t="shared" si="2"/>
        <v>0</v>
      </c>
      <c r="F36" s="5">
        <f t="shared" si="2"/>
        <v>0</v>
      </c>
      <c r="G36" s="5">
        <f t="shared" si="2"/>
        <v>1</v>
      </c>
      <c r="H36" s="5">
        <f t="shared" si="2"/>
        <v>0</v>
      </c>
      <c r="I36" s="5">
        <f t="shared" si="2"/>
        <v>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si="2"/>
        <v>0</v>
      </c>
      <c r="N36" s="5">
        <f t="shared" si="2"/>
        <v>0</v>
      </c>
      <c r="O36" s="5">
        <f t="shared" si="2"/>
        <v>0</v>
      </c>
      <c r="P36" s="5">
        <f t="shared" si="2"/>
        <v>0</v>
      </c>
    </row>
    <row r="37" spans="4:16" x14ac:dyDescent="0.35">
      <c r="D37" s="5">
        <f t="shared" si="2"/>
        <v>1</v>
      </c>
      <c r="E37" s="5">
        <f t="shared" si="2"/>
        <v>0</v>
      </c>
      <c r="F37" s="5">
        <f t="shared" si="2"/>
        <v>0</v>
      </c>
      <c r="G37" s="5">
        <f t="shared" si="2"/>
        <v>1</v>
      </c>
      <c r="H37" s="5">
        <f t="shared" si="2"/>
        <v>1</v>
      </c>
      <c r="I37" s="5">
        <f t="shared" si="2"/>
        <v>0</v>
      </c>
      <c r="J37" s="5">
        <f t="shared" si="2"/>
        <v>0</v>
      </c>
      <c r="K37" s="5">
        <f t="shared" si="2"/>
        <v>0</v>
      </c>
      <c r="L37" s="5">
        <f t="shared" si="2"/>
        <v>0</v>
      </c>
      <c r="M37" s="5">
        <f t="shared" si="2"/>
        <v>0</v>
      </c>
      <c r="N37" s="5">
        <f t="shared" si="2"/>
        <v>0</v>
      </c>
      <c r="O37" s="5">
        <f t="shared" si="2"/>
        <v>1</v>
      </c>
      <c r="P37" s="5">
        <f t="shared" si="2"/>
        <v>1</v>
      </c>
    </row>
    <row r="38" spans="4:16" x14ac:dyDescent="0.35">
      <c r="D38" s="5">
        <f t="shared" si="2"/>
        <v>1</v>
      </c>
      <c r="E38" s="5">
        <f t="shared" si="2"/>
        <v>0</v>
      </c>
      <c r="F38" s="5">
        <f t="shared" si="2"/>
        <v>0</v>
      </c>
      <c r="G38" s="5">
        <f t="shared" si="2"/>
        <v>1</v>
      </c>
      <c r="H38" s="5">
        <f t="shared" si="2"/>
        <v>1</v>
      </c>
      <c r="I38" s="5">
        <f t="shared" si="2"/>
        <v>0</v>
      </c>
      <c r="J38" s="5">
        <f t="shared" si="2"/>
        <v>0</v>
      </c>
      <c r="K38" s="5">
        <f t="shared" si="2"/>
        <v>1</v>
      </c>
      <c r="L38" s="5">
        <f t="shared" si="2"/>
        <v>0</v>
      </c>
      <c r="M38" s="5">
        <f t="shared" si="2"/>
        <v>0</v>
      </c>
      <c r="N38" s="5">
        <f t="shared" si="2"/>
        <v>0</v>
      </c>
      <c r="O38" s="5">
        <f t="shared" si="2"/>
        <v>1</v>
      </c>
      <c r="P38" s="5">
        <f t="shared" si="2"/>
        <v>1</v>
      </c>
    </row>
    <row r="39" spans="4:16" x14ac:dyDescent="0.35">
      <c r="D39" s="5">
        <f t="shared" si="2"/>
        <v>1</v>
      </c>
      <c r="E39" s="5">
        <f t="shared" si="2"/>
        <v>0</v>
      </c>
      <c r="F39" s="5">
        <f t="shared" si="2"/>
        <v>0</v>
      </c>
      <c r="G39" s="5">
        <f t="shared" si="2"/>
        <v>1</v>
      </c>
      <c r="H39" s="5">
        <f t="shared" si="2"/>
        <v>1</v>
      </c>
      <c r="I39" s="5">
        <f t="shared" si="2"/>
        <v>0</v>
      </c>
      <c r="J39" s="5">
        <f t="shared" si="2"/>
        <v>0</v>
      </c>
      <c r="K39" s="5">
        <f t="shared" si="2"/>
        <v>1</v>
      </c>
      <c r="L39" s="5">
        <f t="shared" si="2"/>
        <v>1</v>
      </c>
      <c r="M39" s="5">
        <f t="shared" si="2"/>
        <v>0</v>
      </c>
      <c r="N39" s="5">
        <f t="shared" si="2"/>
        <v>0</v>
      </c>
      <c r="O39" s="5">
        <f t="shared" si="2"/>
        <v>1</v>
      </c>
      <c r="P39" s="5">
        <f t="shared" si="2"/>
        <v>1</v>
      </c>
    </row>
    <row r="40" spans="4:16" x14ac:dyDescent="0.35">
      <c r="D40" s="5">
        <f t="shared" si="2"/>
        <v>1</v>
      </c>
      <c r="E40" s="5">
        <f t="shared" si="2"/>
        <v>0</v>
      </c>
      <c r="F40" s="5">
        <f t="shared" si="2"/>
        <v>1</v>
      </c>
      <c r="G40" s="5">
        <f t="shared" si="2"/>
        <v>1</v>
      </c>
      <c r="H40" s="5">
        <f t="shared" si="2"/>
        <v>1</v>
      </c>
      <c r="I40" s="5">
        <f t="shared" si="2"/>
        <v>0</v>
      </c>
      <c r="J40" s="5">
        <f t="shared" si="2"/>
        <v>0</v>
      </c>
      <c r="K40" s="5">
        <f t="shared" si="2"/>
        <v>1</v>
      </c>
      <c r="L40" s="5">
        <f t="shared" si="2"/>
        <v>0</v>
      </c>
      <c r="M40" s="5">
        <f t="shared" si="2"/>
        <v>0</v>
      </c>
      <c r="N40" s="5">
        <f t="shared" si="2"/>
        <v>0</v>
      </c>
      <c r="O40" s="5">
        <f t="shared" si="2"/>
        <v>1</v>
      </c>
      <c r="P40" s="5">
        <f t="shared" si="2"/>
        <v>1</v>
      </c>
    </row>
    <row r="41" spans="4:16" x14ac:dyDescent="0.35">
      <c r="D41" s="5">
        <f t="shared" si="2"/>
        <v>1</v>
      </c>
      <c r="E41" s="5">
        <f t="shared" si="2"/>
        <v>0</v>
      </c>
      <c r="F41" s="5">
        <f t="shared" si="2"/>
        <v>0</v>
      </c>
      <c r="G41" s="5">
        <f t="shared" si="2"/>
        <v>1</v>
      </c>
      <c r="H41" s="5">
        <f t="shared" si="2"/>
        <v>0</v>
      </c>
      <c r="I41" s="5">
        <f t="shared" si="2"/>
        <v>0</v>
      </c>
      <c r="J41" s="5">
        <f t="shared" si="2"/>
        <v>0</v>
      </c>
      <c r="K41" s="5">
        <f t="shared" si="2"/>
        <v>1</v>
      </c>
      <c r="L41" s="5">
        <f t="shared" si="2"/>
        <v>0</v>
      </c>
      <c r="M41" s="5">
        <f t="shared" si="2"/>
        <v>0</v>
      </c>
      <c r="N41" s="5">
        <f t="shared" si="2"/>
        <v>0</v>
      </c>
      <c r="O41" s="5">
        <f t="shared" si="2"/>
        <v>1</v>
      </c>
      <c r="P41" s="5">
        <f t="shared" si="2"/>
        <v>1</v>
      </c>
    </row>
    <row r="42" spans="4:16" x14ac:dyDescent="0.35">
      <c r="D42" s="5">
        <f>IF(ABS(D15)&gt;0.1, 1, 0)</f>
        <v>0</v>
      </c>
      <c r="E42" s="5">
        <f t="shared" si="2"/>
        <v>0</v>
      </c>
      <c r="F42" s="5">
        <f t="shared" si="2"/>
        <v>0</v>
      </c>
      <c r="G42" s="5">
        <f t="shared" si="2"/>
        <v>1</v>
      </c>
      <c r="H42" s="5">
        <f t="shared" si="2"/>
        <v>1</v>
      </c>
      <c r="I42" s="5">
        <f t="shared" si="2"/>
        <v>0</v>
      </c>
      <c r="J42" s="5">
        <f t="shared" si="2"/>
        <v>0</v>
      </c>
      <c r="K42" s="5">
        <f t="shared" si="2"/>
        <v>1</v>
      </c>
      <c r="L42" s="5">
        <f t="shared" si="2"/>
        <v>0</v>
      </c>
      <c r="M42" s="5">
        <f t="shared" si="2"/>
        <v>0</v>
      </c>
      <c r="N42" s="5">
        <f t="shared" si="2"/>
        <v>0</v>
      </c>
      <c r="O42" s="5">
        <f t="shared" si="2"/>
        <v>1</v>
      </c>
      <c r="P42" s="5">
        <f t="shared" si="2"/>
        <v>1</v>
      </c>
    </row>
    <row r="43" spans="4:16" x14ac:dyDescent="0.35">
      <c r="D43" s="5">
        <f t="shared" si="2"/>
        <v>1</v>
      </c>
      <c r="E43" s="5">
        <f t="shared" si="2"/>
        <v>0</v>
      </c>
      <c r="F43" s="5">
        <f t="shared" si="2"/>
        <v>1</v>
      </c>
      <c r="G43" s="5">
        <f t="shared" si="2"/>
        <v>0</v>
      </c>
      <c r="H43" s="5">
        <f t="shared" si="2"/>
        <v>1</v>
      </c>
      <c r="I43" s="5">
        <f t="shared" si="2"/>
        <v>0</v>
      </c>
      <c r="J43" s="5">
        <f t="shared" si="2"/>
        <v>0</v>
      </c>
      <c r="K43" s="5">
        <f t="shared" si="2"/>
        <v>1</v>
      </c>
      <c r="L43" s="5">
        <f t="shared" si="2"/>
        <v>0</v>
      </c>
      <c r="M43" s="5">
        <f t="shared" si="2"/>
        <v>0</v>
      </c>
      <c r="N43" s="5">
        <f t="shared" si="2"/>
        <v>0</v>
      </c>
      <c r="O43" s="5">
        <f t="shared" si="2"/>
        <v>1</v>
      </c>
      <c r="P43" s="5">
        <f t="shared" si="2"/>
        <v>1</v>
      </c>
    </row>
    <row r="44" spans="4:16" x14ac:dyDescent="0.35">
      <c r="D44" s="5">
        <f t="shared" si="2"/>
        <v>1</v>
      </c>
      <c r="E44" s="5">
        <f t="shared" si="2"/>
        <v>0</v>
      </c>
      <c r="F44" s="5">
        <f t="shared" si="2"/>
        <v>0</v>
      </c>
      <c r="G44" s="5">
        <f t="shared" si="2"/>
        <v>1</v>
      </c>
      <c r="H44" s="5">
        <f t="shared" si="2"/>
        <v>0</v>
      </c>
      <c r="I44" s="5">
        <f t="shared" si="2"/>
        <v>0</v>
      </c>
      <c r="J44" s="5">
        <f t="shared" si="2"/>
        <v>0</v>
      </c>
      <c r="K44" s="5">
        <f t="shared" si="2"/>
        <v>1</v>
      </c>
      <c r="L44" s="5">
        <f t="shared" si="2"/>
        <v>0</v>
      </c>
      <c r="M44" s="5">
        <f t="shared" si="2"/>
        <v>0</v>
      </c>
      <c r="N44" s="5">
        <f t="shared" si="2"/>
        <v>0</v>
      </c>
      <c r="O44" s="5">
        <f t="shared" si="2"/>
        <v>1</v>
      </c>
      <c r="P44" s="5">
        <f t="shared" si="2"/>
        <v>1</v>
      </c>
    </row>
    <row r="45" spans="4:16" x14ac:dyDescent="0.35">
      <c r="D45" s="5">
        <f t="shared" si="2"/>
        <v>1</v>
      </c>
      <c r="E45" s="5">
        <f t="shared" si="2"/>
        <v>0</v>
      </c>
      <c r="F45" s="5">
        <f t="shared" si="2"/>
        <v>0</v>
      </c>
      <c r="G45" s="5">
        <f t="shared" si="2"/>
        <v>1</v>
      </c>
      <c r="H45" s="5">
        <f t="shared" si="2"/>
        <v>0</v>
      </c>
      <c r="I45" s="5">
        <f t="shared" si="2"/>
        <v>0</v>
      </c>
      <c r="J45" s="5">
        <f t="shared" si="2"/>
        <v>0</v>
      </c>
      <c r="K45" s="5">
        <f t="shared" si="2"/>
        <v>1</v>
      </c>
      <c r="L45" s="5">
        <f t="shared" si="2"/>
        <v>0</v>
      </c>
      <c r="M45" s="5">
        <f t="shared" si="2"/>
        <v>0</v>
      </c>
      <c r="N45" s="5">
        <f t="shared" si="2"/>
        <v>0</v>
      </c>
      <c r="O45" s="5">
        <f t="shared" si="2"/>
        <v>0</v>
      </c>
      <c r="P45" s="5">
        <f t="shared" si="2"/>
        <v>1</v>
      </c>
    </row>
    <row r="46" spans="4:16" x14ac:dyDescent="0.35">
      <c r="D46" s="5">
        <f t="shared" si="2"/>
        <v>1</v>
      </c>
      <c r="E46" s="5">
        <f t="shared" si="2"/>
        <v>0</v>
      </c>
      <c r="F46" s="5">
        <f t="shared" si="2"/>
        <v>0</v>
      </c>
      <c r="G46" s="5">
        <f t="shared" si="2"/>
        <v>1</v>
      </c>
      <c r="H46" s="5">
        <f t="shared" si="2"/>
        <v>1</v>
      </c>
      <c r="I46" s="5">
        <f t="shared" si="2"/>
        <v>0</v>
      </c>
      <c r="J46" s="5">
        <f t="shared" si="2"/>
        <v>0</v>
      </c>
      <c r="K46" s="5">
        <f t="shared" si="2"/>
        <v>1</v>
      </c>
      <c r="L46" s="5">
        <f t="shared" si="2"/>
        <v>0</v>
      </c>
      <c r="M46" s="5">
        <f t="shared" si="2"/>
        <v>0</v>
      </c>
      <c r="N46" s="5">
        <f t="shared" si="2"/>
        <v>0</v>
      </c>
      <c r="O46" s="5">
        <f t="shared" si="2"/>
        <v>1</v>
      </c>
      <c r="P46" s="5">
        <f t="shared" si="2"/>
        <v>1</v>
      </c>
    </row>
    <row r="47" spans="4:16" x14ac:dyDescent="0.35">
      <c r="D47" s="5">
        <f t="shared" si="2"/>
        <v>1</v>
      </c>
      <c r="E47" s="5">
        <f t="shared" si="2"/>
        <v>0</v>
      </c>
      <c r="F47" s="5">
        <f t="shared" si="2"/>
        <v>1</v>
      </c>
      <c r="G47" s="5">
        <f t="shared" si="2"/>
        <v>1</v>
      </c>
      <c r="H47" s="5">
        <f t="shared" si="2"/>
        <v>1</v>
      </c>
      <c r="I47" s="5">
        <f t="shared" si="2"/>
        <v>1</v>
      </c>
      <c r="J47" s="5">
        <f t="shared" si="2"/>
        <v>1</v>
      </c>
      <c r="K47" s="5">
        <f t="shared" si="2"/>
        <v>1</v>
      </c>
      <c r="L47" s="5">
        <f t="shared" si="2"/>
        <v>0</v>
      </c>
      <c r="M47" s="5">
        <f t="shared" si="2"/>
        <v>0</v>
      </c>
      <c r="N47" s="5">
        <f t="shared" si="2"/>
        <v>1</v>
      </c>
      <c r="O47" s="5">
        <f t="shared" si="2"/>
        <v>1</v>
      </c>
      <c r="P47" s="5">
        <f t="shared" si="2"/>
        <v>1</v>
      </c>
    </row>
    <row r="48" spans="4:16" x14ac:dyDescent="0.35">
      <c r="D48" s="5">
        <f>IF(ABS(D21)&gt;0.1, 1, 0)</f>
        <v>0</v>
      </c>
      <c r="E48" s="5">
        <f t="shared" si="2"/>
        <v>0</v>
      </c>
      <c r="F48" s="5">
        <f t="shared" si="2"/>
        <v>1</v>
      </c>
      <c r="G48" s="5">
        <f t="shared" si="2"/>
        <v>1</v>
      </c>
      <c r="H48" s="5">
        <f t="shared" si="2"/>
        <v>1</v>
      </c>
      <c r="I48" s="5">
        <f t="shared" si="2"/>
        <v>0</v>
      </c>
      <c r="J48" s="5">
        <f t="shared" si="2"/>
        <v>0</v>
      </c>
      <c r="K48" s="5">
        <f t="shared" si="2"/>
        <v>0</v>
      </c>
      <c r="L48" s="5">
        <f t="shared" si="2"/>
        <v>0</v>
      </c>
      <c r="M48" s="5">
        <f t="shared" si="2"/>
        <v>0</v>
      </c>
      <c r="N48" s="5">
        <f t="shared" si="2"/>
        <v>0</v>
      </c>
      <c r="O48" s="5">
        <f t="shared" si="2"/>
        <v>1</v>
      </c>
      <c r="P48" s="5">
        <f t="shared" si="2"/>
        <v>0</v>
      </c>
    </row>
    <row r="49" spans="4:16" x14ac:dyDescent="0.35">
      <c r="D49" s="5">
        <f>IF(ABS(D22)&gt;0.1, 1, 0)</f>
        <v>1</v>
      </c>
      <c r="E49" s="5">
        <f t="shared" si="2"/>
        <v>0</v>
      </c>
      <c r="F49" s="5">
        <f t="shared" si="2"/>
        <v>0</v>
      </c>
      <c r="G49" s="5">
        <f t="shared" si="2"/>
        <v>1</v>
      </c>
      <c r="H49" s="5">
        <f t="shared" si="2"/>
        <v>1</v>
      </c>
      <c r="I49" s="5">
        <f t="shared" ref="E49:P52" si="3">IF(ABS(I22)&gt;0.1, 1, 0)</f>
        <v>0</v>
      </c>
      <c r="J49" s="5">
        <f t="shared" si="3"/>
        <v>0</v>
      </c>
      <c r="K49" s="5">
        <f t="shared" si="3"/>
        <v>1</v>
      </c>
      <c r="L49" s="5">
        <f t="shared" si="3"/>
        <v>0</v>
      </c>
      <c r="M49" s="5">
        <f t="shared" si="3"/>
        <v>0</v>
      </c>
      <c r="N49" s="5">
        <f t="shared" si="3"/>
        <v>0</v>
      </c>
      <c r="O49" s="5">
        <f t="shared" si="3"/>
        <v>0</v>
      </c>
      <c r="P49" s="5">
        <f t="shared" si="3"/>
        <v>1</v>
      </c>
    </row>
    <row r="50" spans="4:16" x14ac:dyDescent="0.35">
      <c r="D50" s="5">
        <f t="shared" si="2"/>
        <v>1</v>
      </c>
      <c r="E50" s="5">
        <f t="shared" si="3"/>
        <v>0</v>
      </c>
      <c r="F50" s="5">
        <f t="shared" si="3"/>
        <v>1</v>
      </c>
      <c r="G50" s="5">
        <f t="shared" si="3"/>
        <v>1</v>
      </c>
      <c r="H50" s="5">
        <f t="shared" si="3"/>
        <v>1</v>
      </c>
      <c r="I50" s="5">
        <f t="shared" si="3"/>
        <v>0</v>
      </c>
      <c r="J50" s="5">
        <f t="shared" si="3"/>
        <v>0</v>
      </c>
      <c r="K50" s="5">
        <f t="shared" si="3"/>
        <v>1</v>
      </c>
      <c r="L50" s="5">
        <f t="shared" si="3"/>
        <v>0</v>
      </c>
      <c r="M50" s="5">
        <f t="shared" si="3"/>
        <v>0</v>
      </c>
      <c r="N50" s="5">
        <f t="shared" si="3"/>
        <v>0</v>
      </c>
      <c r="O50" s="5">
        <f t="shared" si="3"/>
        <v>1</v>
      </c>
      <c r="P50" s="5">
        <f t="shared" si="3"/>
        <v>1</v>
      </c>
    </row>
    <row r="51" spans="4:16" x14ac:dyDescent="0.35">
      <c r="D51" s="5">
        <f t="shared" si="2"/>
        <v>1</v>
      </c>
      <c r="E51" s="5">
        <f t="shared" si="3"/>
        <v>0</v>
      </c>
      <c r="F51" s="5">
        <f t="shared" si="3"/>
        <v>0</v>
      </c>
      <c r="G51" s="5">
        <f t="shared" si="3"/>
        <v>1</v>
      </c>
      <c r="H51" s="5">
        <f t="shared" si="3"/>
        <v>0</v>
      </c>
      <c r="I51" s="5">
        <f t="shared" si="3"/>
        <v>1</v>
      </c>
      <c r="J51" s="5">
        <f t="shared" si="3"/>
        <v>0</v>
      </c>
      <c r="K51" s="5">
        <f t="shared" si="3"/>
        <v>0</v>
      </c>
      <c r="L51" s="5">
        <f t="shared" si="3"/>
        <v>0</v>
      </c>
      <c r="M51" s="5">
        <f t="shared" si="3"/>
        <v>0</v>
      </c>
      <c r="N51" s="5">
        <f t="shared" si="3"/>
        <v>0</v>
      </c>
      <c r="O51" s="5">
        <f t="shared" si="3"/>
        <v>1</v>
      </c>
      <c r="P51" s="5">
        <f t="shared" si="3"/>
        <v>1</v>
      </c>
    </row>
    <row r="52" spans="4:16" x14ac:dyDescent="0.35">
      <c r="D52" s="5">
        <f t="shared" si="2"/>
        <v>1</v>
      </c>
      <c r="E52" s="5">
        <f t="shared" si="3"/>
        <v>0</v>
      </c>
      <c r="F52" s="5">
        <f t="shared" si="3"/>
        <v>0</v>
      </c>
      <c r="G52" s="5">
        <f t="shared" si="3"/>
        <v>0</v>
      </c>
      <c r="H52" s="5">
        <f t="shared" si="3"/>
        <v>1</v>
      </c>
      <c r="I52" s="5">
        <f t="shared" si="3"/>
        <v>0</v>
      </c>
      <c r="J52" s="5">
        <f t="shared" si="3"/>
        <v>0</v>
      </c>
      <c r="K52" s="5">
        <f t="shared" si="3"/>
        <v>0</v>
      </c>
      <c r="L52" s="5">
        <f t="shared" si="3"/>
        <v>0</v>
      </c>
      <c r="M52" s="5">
        <f t="shared" si="3"/>
        <v>0</v>
      </c>
      <c r="N52" s="5">
        <f t="shared" si="3"/>
        <v>0</v>
      </c>
      <c r="O52" s="5">
        <f t="shared" si="3"/>
        <v>0</v>
      </c>
      <c r="P52" s="5">
        <f t="shared" si="3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2024-12-19T07:36:38Z</dcterms:created>
  <dcterms:modified xsi:type="dcterms:W3CDTF">2024-12-19T07:45:11Z</dcterms:modified>
</cp:coreProperties>
</file>