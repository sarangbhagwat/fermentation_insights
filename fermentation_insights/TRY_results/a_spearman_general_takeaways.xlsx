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fermentation_insights\fermentation_insights\TRY_results\"/>
    </mc:Choice>
  </mc:AlternateContent>
  <xr:revisionPtr revIDLastSave="0" documentId="13_ncr:1_{54CA31DF-5D32-4AC5-8B51-5C6F9771746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F27" i="1"/>
  <c r="G27" i="1"/>
  <c r="H27" i="1"/>
  <c r="I27" i="1"/>
  <c r="J27" i="1"/>
  <c r="K27" i="1"/>
  <c r="L27" i="1"/>
  <c r="M27" i="1"/>
  <c r="N27" i="1"/>
  <c r="O27" i="1"/>
  <c r="P27" i="1"/>
  <c r="D27" i="1"/>
  <c r="E29" i="1"/>
  <c r="F29" i="1"/>
  <c r="G29" i="1"/>
  <c r="H29" i="1"/>
  <c r="I29" i="1"/>
  <c r="J29" i="1"/>
  <c r="K29" i="1"/>
  <c r="L29" i="1"/>
  <c r="M29" i="1"/>
  <c r="N29" i="1"/>
  <c r="O29" i="1"/>
  <c r="P29" i="1"/>
  <c r="E30" i="1"/>
  <c r="F30" i="1"/>
  <c r="G30" i="1"/>
  <c r="H30" i="1"/>
  <c r="I30" i="1"/>
  <c r="J30" i="1"/>
  <c r="K30" i="1"/>
  <c r="L30" i="1"/>
  <c r="M30" i="1"/>
  <c r="N30" i="1"/>
  <c r="O30" i="1"/>
  <c r="P30" i="1"/>
  <c r="E31" i="1"/>
  <c r="F31" i="1"/>
  <c r="G31" i="1"/>
  <c r="H31" i="1"/>
  <c r="I31" i="1"/>
  <c r="J31" i="1"/>
  <c r="K31" i="1"/>
  <c r="L31" i="1"/>
  <c r="M31" i="1"/>
  <c r="N31" i="1"/>
  <c r="O31" i="1"/>
  <c r="P31" i="1"/>
  <c r="E32" i="1"/>
  <c r="F32" i="1"/>
  <c r="G32" i="1"/>
  <c r="H32" i="1"/>
  <c r="I32" i="1"/>
  <c r="J32" i="1"/>
  <c r="K32" i="1"/>
  <c r="L32" i="1"/>
  <c r="M32" i="1"/>
  <c r="N32" i="1"/>
  <c r="O32" i="1"/>
  <c r="P32" i="1"/>
  <c r="E33" i="1"/>
  <c r="F33" i="1"/>
  <c r="G33" i="1"/>
  <c r="H33" i="1"/>
  <c r="I33" i="1"/>
  <c r="J33" i="1"/>
  <c r="K33" i="1"/>
  <c r="L33" i="1"/>
  <c r="M33" i="1"/>
  <c r="N33" i="1"/>
  <c r="O33" i="1"/>
  <c r="P33" i="1"/>
  <c r="E34" i="1"/>
  <c r="F34" i="1"/>
  <c r="G34" i="1"/>
  <c r="H34" i="1"/>
  <c r="I34" i="1"/>
  <c r="J34" i="1"/>
  <c r="K34" i="1"/>
  <c r="L34" i="1"/>
  <c r="M34" i="1"/>
  <c r="N34" i="1"/>
  <c r="O34" i="1"/>
  <c r="P34" i="1"/>
  <c r="E35" i="1"/>
  <c r="F35" i="1"/>
  <c r="G35" i="1"/>
  <c r="H35" i="1"/>
  <c r="I35" i="1"/>
  <c r="J35" i="1"/>
  <c r="K35" i="1"/>
  <c r="L35" i="1"/>
  <c r="M35" i="1"/>
  <c r="N35" i="1"/>
  <c r="O35" i="1"/>
  <c r="P35" i="1"/>
  <c r="E36" i="1"/>
  <c r="F36" i="1"/>
  <c r="G36" i="1"/>
  <c r="H36" i="1"/>
  <c r="I36" i="1"/>
  <c r="J36" i="1"/>
  <c r="K36" i="1"/>
  <c r="L36" i="1"/>
  <c r="M36" i="1"/>
  <c r="N36" i="1"/>
  <c r="O36" i="1"/>
  <c r="P36" i="1"/>
  <c r="E37" i="1"/>
  <c r="F37" i="1"/>
  <c r="G37" i="1"/>
  <c r="H37" i="1"/>
  <c r="I37" i="1"/>
  <c r="J37" i="1"/>
  <c r="K37" i="1"/>
  <c r="L37" i="1"/>
  <c r="M37" i="1"/>
  <c r="N37" i="1"/>
  <c r="O37" i="1"/>
  <c r="P37" i="1"/>
  <c r="E38" i="1"/>
  <c r="F38" i="1"/>
  <c r="G38" i="1"/>
  <c r="H38" i="1"/>
  <c r="I38" i="1"/>
  <c r="J38" i="1"/>
  <c r="K38" i="1"/>
  <c r="L38" i="1"/>
  <c r="M38" i="1"/>
  <c r="N38" i="1"/>
  <c r="O38" i="1"/>
  <c r="P38" i="1"/>
  <c r="E39" i="1"/>
  <c r="F39" i="1"/>
  <c r="G39" i="1"/>
  <c r="H39" i="1"/>
  <c r="I39" i="1"/>
  <c r="J39" i="1"/>
  <c r="K39" i="1"/>
  <c r="L39" i="1"/>
  <c r="M39" i="1"/>
  <c r="N39" i="1"/>
  <c r="O39" i="1"/>
  <c r="P39" i="1"/>
  <c r="E40" i="1"/>
  <c r="F40" i="1"/>
  <c r="G40" i="1"/>
  <c r="H40" i="1"/>
  <c r="I40" i="1"/>
  <c r="J40" i="1"/>
  <c r="K40" i="1"/>
  <c r="L40" i="1"/>
  <c r="M40" i="1"/>
  <c r="N40" i="1"/>
  <c r="O40" i="1"/>
  <c r="P40" i="1"/>
  <c r="E41" i="1"/>
  <c r="F41" i="1"/>
  <c r="G41" i="1"/>
  <c r="H41" i="1"/>
  <c r="I41" i="1"/>
  <c r="J41" i="1"/>
  <c r="K41" i="1"/>
  <c r="L41" i="1"/>
  <c r="M41" i="1"/>
  <c r="N41" i="1"/>
  <c r="O41" i="1"/>
  <c r="P41" i="1"/>
  <c r="E42" i="1"/>
  <c r="F42" i="1"/>
  <c r="G42" i="1"/>
  <c r="H42" i="1"/>
  <c r="I42" i="1"/>
  <c r="J42" i="1"/>
  <c r="K42" i="1"/>
  <c r="L42" i="1"/>
  <c r="M42" i="1"/>
  <c r="N42" i="1"/>
  <c r="O42" i="1"/>
  <c r="P42" i="1"/>
  <c r="E43" i="1"/>
  <c r="F43" i="1"/>
  <c r="G43" i="1"/>
  <c r="H43" i="1"/>
  <c r="I43" i="1"/>
  <c r="J43" i="1"/>
  <c r="K43" i="1"/>
  <c r="L43" i="1"/>
  <c r="M43" i="1"/>
  <c r="N43" i="1"/>
  <c r="O43" i="1"/>
  <c r="P43" i="1"/>
  <c r="E44" i="1"/>
  <c r="F44" i="1"/>
  <c r="G44" i="1"/>
  <c r="H44" i="1"/>
  <c r="I44" i="1"/>
  <c r="J44" i="1"/>
  <c r="K44" i="1"/>
  <c r="L44" i="1"/>
  <c r="M44" i="1"/>
  <c r="N44" i="1"/>
  <c r="O44" i="1"/>
  <c r="P44" i="1"/>
  <c r="E45" i="1"/>
  <c r="F45" i="1"/>
  <c r="G45" i="1"/>
  <c r="H45" i="1"/>
  <c r="I45" i="1"/>
  <c r="J45" i="1"/>
  <c r="K45" i="1"/>
  <c r="L45" i="1"/>
  <c r="M45" i="1"/>
  <c r="N45" i="1"/>
  <c r="O45" i="1"/>
  <c r="P45" i="1"/>
  <c r="E46" i="1"/>
  <c r="F46" i="1"/>
  <c r="G46" i="1"/>
  <c r="H46" i="1"/>
  <c r="I46" i="1"/>
  <c r="J46" i="1"/>
  <c r="K46" i="1"/>
  <c r="L46" i="1"/>
  <c r="M46" i="1"/>
  <c r="N46" i="1"/>
  <c r="O46" i="1"/>
  <c r="P46" i="1"/>
  <c r="E47" i="1"/>
  <c r="F47" i="1"/>
  <c r="G47" i="1"/>
  <c r="H47" i="1"/>
  <c r="I47" i="1"/>
  <c r="J47" i="1"/>
  <c r="K47" i="1"/>
  <c r="L47" i="1"/>
  <c r="M47" i="1"/>
  <c r="N47" i="1"/>
  <c r="O47" i="1"/>
  <c r="P47" i="1"/>
  <c r="E48" i="1"/>
  <c r="F48" i="1"/>
  <c r="G48" i="1"/>
  <c r="H48" i="1"/>
  <c r="I48" i="1"/>
  <c r="J48" i="1"/>
  <c r="K48" i="1"/>
  <c r="L48" i="1"/>
  <c r="M48" i="1"/>
  <c r="N48" i="1"/>
  <c r="O48" i="1"/>
  <c r="P48" i="1"/>
  <c r="E49" i="1"/>
  <c r="F49" i="1"/>
  <c r="G49" i="1"/>
  <c r="H49" i="1"/>
  <c r="I49" i="1"/>
  <c r="J49" i="1"/>
  <c r="K49" i="1"/>
  <c r="L49" i="1"/>
  <c r="M49" i="1"/>
  <c r="N49" i="1"/>
  <c r="O49" i="1"/>
  <c r="P49" i="1"/>
  <c r="E50" i="1"/>
  <c r="F50" i="1"/>
  <c r="G50" i="1"/>
  <c r="H50" i="1"/>
  <c r="I50" i="1"/>
  <c r="J50" i="1"/>
  <c r="K50" i="1"/>
  <c r="L50" i="1"/>
  <c r="M50" i="1"/>
  <c r="N50" i="1"/>
  <c r="O50" i="1"/>
  <c r="P50" i="1"/>
  <c r="E51" i="1"/>
  <c r="F51" i="1"/>
  <c r="G51" i="1"/>
  <c r="H51" i="1"/>
  <c r="I51" i="1"/>
  <c r="J51" i="1"/>
  <c r="K51" i="1"/>
  <c r="L51" i="1"/>
  <c r="M51" i="1"/>
  <c r="N51" i="1"/>
  <c r="O51" i="1"/>
  <c r="P51" i="1"/>
  <c r="E52" i="1"/>
  <c r="F52" i="1"/>
  <c r="G52" i="1"/>
  <c r="H52" i="1"/>
  <c r="I52" i="1"/>
  <c r="J52" i="1"/>
  <c r="K52" i="1"/>
  <c r="L52" i="1"/>
  <c r="M52" i="1"/>
  <c r="N52" i="1"/>
  <c r="O52" i="1"/>
  <c r="P52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9" i="1"/>
</calcChain>
</file>

<file path=xl/sharedStrings.xml><?xml version="1.0" encoding="utf-8"?>
<sst xmlns="http://schemas.openxmlformats.org/spreadsheetml/2006/main" count="63" uniqueCount="25">
  <si>
    <t>product</t>
  </si>
  <si>
    <t>feedstock</t>
  </si>
  <si>
    <t>fermentation cell mass yield</t>
  </si>
  <si>
    <t>feedstock unit price</t>
  </si>
  <si>
    <t>feedstock capacity</t>
  </si>
  <si>
    <t>operating time</t>
  </si>
  <si>
    <t>natural gas unit price</t>
  </si>
  <si>
    <t>CSL unit price</t>
  </si>
  <si>
    <t>CSL loading</t>
  </si>
  <si>
    <t>electricity unit price</t>
  </si>
  <si>
    <t>inoculum ratio</t>
  </si>
  <si>
    <t>seed train fermentation ratio</t>
  </si>
  <si>
    <t>product storage time</t>
  </si>
  <si>
    <t>boiler efficiency</t>
  </si>
  <si>
    <t>turbogenerator efficiency</t>
  </si>
  <si>
    <t>TAL</t>
  </si>
  <si>
    <t>glucose</t>
  </si>
  <si>
    <t>cornstover</t>
  </si>
  <si>
    <t>sugarcane</t>
  </si>
  <si>
    <t>corn</t>
  </si>
  <si>
    <t>TAL_SA</t>
  </si>
  <si>
    <t>HP</t>
  </si>
  <si>
    <t>HP_neutral</t>
  </si>
  <si>
    <t>HP_hexanol</t>
  </si>
  <si>
    <t>HP_neutral_hexanol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</si>
</sst>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2"/>
  <sheetViews>
    <sheetView tabSelected="1" workbookViewId="0">
      <selection sqref="A1:XFD1"/>
    </sheetView>
  </sheetViews>
  <sheetFormatPr defaultRowHeight="14.5" x14ac:dyDescent="0.35"/>
  <sheetData>
    <row r="1" spans="1:16" s="2" customFormat="1" ht="58" x14ac:dyDescent="0.35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</row>
    <row r="2" spans="1:16" x14ac:dyDescent="0.35">
      <c r="A2" s="1">
        <v>0</v>
      </c>
      <c r="B2" t="s">
        <v>15</v>
      </c>
      <c r="C2" t="s">
        <v>16</v>
      </c>
      <c r="D2">
        <v>0.36393361573446292</v>
      </c>
      <c r="E2">
        <v>9.0681962727850909E-4</v>
      </c>
      <c r="F2">
        <v>0.25909342037368149</v>
      </c>
      <c r="G2">
        <v>-7.2202560810243246E-2</v>
      </c>
      <c r="H2">
        <v>-6.2382009528038108E-3</v>
      </c>
      <c r="I2">
        <v>1.168699074796299E-2</v>
      </c>
      <c r="J2">
        <v>-4.6405913623654503E-2</v>
      </c>
      <c r="K2">
        <v>-2.2781851127404509E-3</v>
      </c>
      <c r="L2">
        <v>-3.3415813663254649E-3</v>
      </c>
      <c r="M2">
        <v>-6.9382645530582127E-2</v>
      </c>
      <c r="N2">
        <v>-6.6763179052716212E-2</v>
      </c>
      <c r="O2">
        <v>3.705134820539282E-3</v>
      </c>
      <c r="P2">
        <v>-4.8228672914691663E-2</v>
      </c>
    </row>
    <row r="3" spans="1:16" x14ac:dyDescent="0.35">
      <c r="A3" s="1">
        <v>1</v>
      </c>
      <c r="B3" t="s">
        <v>15</v>
      </c>
      <c r="C3" t="s">
        <v>17</v>
      </c>
      <c r="D3">
        <v>0.37483858735434938</v>
      </c>
      <c r="E3">
        <v>1.46936267745071E-2</v>
      </c>
      <c r="F3">
        <v>0.22709265237060949</v>
      </c>
      <c r="G3">
        <v>-6.8182352729410922E-2</v>
      </c>
      <c r="H3">
        <v>2.268172272689091E-2</v>
      </c>
      <c r="I3">
        <v>-3.6958515834063337E-2</v>
      </c>
      <c r="J3">
        <v>-0.16686565946263779</v>
      </c>
      <c r="K3">
        <v>-3.5585422341689369E-3</v>
      </c>
      <c r="L3">
        <v>-7.3723494893979573E-3</v>
      </c>
      <c r="M3">
        <v>-7.7853623414493658E-2</v>
      </c>
      <c r="N3">
        <v>-6.7928239712958846E-2</v>
      </c>
      <c r="O3">
        <v>1.548975795903184E-2</v>
      </c>
      <c r="P3">
        <v>-2.966575066300265E-2</v>
      </c>
    </row>
    <row r="4" spans="1:16" x14ac:dyDescent="0.35">
      <c r="A4" s="1">
        <v>2</v>
      </c>
      <c r="B4" t="s">
        <v>15</v>
      </c>
      <c r="C4" t="s">
        <v>18</v>
      </c>
      <c r="D4">
        <v>0.3041825927303709</v>
      </c>
      <c r="E4">
        <v>2.625389701558806E-2</v>
      </c>
      <c r="F4">
        <v>0.20909526838107351</v>
      </c>
      <c r="G4">
        <v>-0.41191067164268658</v>
      </c>
      <c r="H4">
        <v>1.532818931275725E-2</v>
      </c>
      <c r="I4">
        <v>-3.663182652730611E-3</v>
      </c>
      <c r="J4">
        <v>-0.15427223308893229</v>
      </c>
      <c r="K4">
        <v>1.047460189840759E-2</v>
      </c>
      <c r="L4">
        <v>-1.575769503078012E-2</v>
      </c>
      <c r="M4">
        <v>-7.5511118044472178E-2</v>
      </c>
      <c r="N4">
        <v>-7.424756099024396E-2</v>
      </c>
      <c r="O4">
        <v>3.204800019200077E-2</v>
      </c>
      <c r="P4">
        <v>-5.8508490033960137E-2</v>
      </c>
    </row>
    <row r="5" spans="1:16" x14ac:dyDescent="0.35">
      <c r="A5" s="1">
        <v>3</v>
      </c>
      <c r="B5" t="s">
        <v>15</v>
      </c>
      <c r="C5" t="s">
        <v>19</v>
      </c>
      <c r="D5">
        <v>0.36839196956787829</v>
      </c>
      <c r="E5">
        <v>-1.13815175260701E-2</v>
      </c>
      <c r="F5">
        <v>0.25430549722198892</v>
      </c>
      <c r="G5">
        <v>-5.0896907587630352E-2</v>
      </c>
      <c r="H5">
        <v>1.261089844359378E-2</v>
      </c>
      <c r="I5">
        <v>-5.4969819879279521E-4</v>
      </c>
      <c r="J5">
        <v>-8.0948579794319173E-2</v>
      </c>
      <c r="K5">
        <v>-4.7910911643646572E-3</v>
      </c>
      <c r="L5">
        <v>-1.097284389137557E-3</v>
      </c>
      <c r="M5">
        <v>-7.5095244380977519E-2</v>
      </c>
      <c r="N5">
        <v>-7.0622394489577953E-2</v>
      </c>
      <c r="O5">
        <v>1.6739394957579829E-2</v>
      </c>
      <c r="P5">
        <v>-2.9438037752151008E-2</v>
      </c>
    </row>
    <row r="6" spans="1:16" x14ac:dyDescent="0.35">
      <c r="A6" s="1">
        <v>4</v>
      </c>
      <c r="B6" t="s">
        <v>20</v>
      </c>
      <c r="C6" t="s">
        <v>16</v>
      </c>
      <c r="D6">
        <v>0.15012117648470591</v>
      </c>
      <c r="E6">
        <v>-2.3403261613046449E-2</v>
      </c>
      <c r="F6">
        <v>3.8119736478945919E-2</v>
      </c>
      <c r="G6">
        <v>-0.17239854559418241</v>
      </c>
      <c r="H6">
        <v>4.1522086088344352E-3</v>
      </c>
      <c r="I6">
        <v>-4.1853959415837673E-2</v>
      </c>
      <c r="J6">
        <v>-7.2803043212172847E-2</v>
      </c>
      <c r="K6">
        <v>-1.9990927963711859E-2</v>
      </c>
      <c r="L6">
        <v>3.4979851919407667E-2</v>
      </c>
      <c r="M6">
        <v>-5.076797907191629E-2</v>
      </c>
      <c r="N6">
        <v>2.324668498673995E-2</v>
      </c>
      <c r="O6">
        <v>-5.3634358537434153E-2</v>
      </c>
      <c r="P6">
        <v>3.8802395209580841E-3</v>
      </c>
    </row>
    <row r="7" spans="1:16" x14ac:dyDescent="0.35">
      <c r="A7" s="1">
        <v>5</v>
      </c>
      <c r="B7" t="s">
        <v>20</v>
      </c>
      <c r="C7" t="s">
        <v>17</v>
      </c>
      <c r="D7">
        <v>0.1645446581786327</v>
      </c>
      <c r="E7">
        <v>-2.849185796743187E-2</v>
      </c>
      <c r="F7">
        <v>9.1920559682238723E-2</v>
      </c>
      <c r="G7">
        <v>-0.153185028740115</v>
      </c>
      <c r="H7">
        <v>9.4617978471913885E-4</v>
      </c>
      <c r="I7">
        <v>-6.2951867807471223E-2</v>
      </c>
      <c r="J7">
        <v>-0.1055311101244405</v>
      </c>
      <c r="K7">
        <v>-2.9394645578582311E-2</v>
      </c>
      <c r="L7">
        <v>5.1075180300721203E-2</v>
      </c>
      <c r="M7">
        <v>-5.003252013008052E-2</v>
      </c>
      <c r="N7">
        <v>1.6775395101580409E-2</v>
      </c>
      <c r="O7">
        <v>-5.228680114720459E-2</v>
      </c>
      <c r="P7">
        <v>-2.971595886383546E-3</v>
      </c>
    </row>
    <row r="8" spans="1:16" x14ac:dyDescent="0.35">
      <c r="A8" s="1">
        <v>6</v>
      </c>
      <c r="B8" t="s">
        <v>20</v>
      </c>
      <c r="C8" t="s">
        <v>18</v>
      </c>
      <c r="D8">
        <v>5.4546842187368751E-2</v>
      </c>
      <c r="E8">
        <v>-2.0590738362953449E-2</v>
      </c>
      <c r="F8">
        <v>0.1170086280345121</v>
      </c>
      <c r="G8">
        <v>-0.54609002436009746</v>
      </c>
      <c r="H8">
        <v>-4.4966579866319474E-3</v>
      </c>
      <c r="I8">
        <v>-7.4526634106536427E-2</v>
      </c>
      <c r="J8">
        <v>-9.7167076668306679E-2</v>
      </c>
      <c r="K8">
        <v>-5.086580346321385E-3</v>
      </c>
      <c r="L8">
        <v>4.5777687110748443E-2</v>
      </c>
      <c r="M8">
        <v>-2.333634934539738E-2</v>
      </c>
      <c r="N8">
        <v>1.9677102708410839E-2</v>
      </c>
      <c r="O8">
        <v>-4.2617834471337893E-2</v>
      </c>
      <c r="P8">
        <v>9.6253825015300068E-3</v>
      </c>
    </row>
    <row r="9" spans="1:16" x14ac:dyDescent="0.35">
      <c r="A9" s="1">
        <v>7</v>
      </c>
      <c r="B9" t="s">
        <v>20</v>
      </c>
      <c r="C9" t="s">
        <v>19</v>
      </c>
      <c r="D9">
        <v>0.17159127836511351</v>
      </c>
      <c r="E9">
        <v>-2.8138288553154211E-2</v>
      </c>
      <c r="F9">
        <v>9.9043788175152705E-2</v>
      </c>
      <c r="G9">
        <v>-0.15815564062256249</v>
      </c>
      <c r="H9">
        <v>2.026760107040428E-3</v>
      </c>
      <c r="I9">
        <v>-5.0565418261673052E-2</v>
      </c>
      <c r="J9">
        <v>-8.6830427321709286E-2</v>
      </c>
      <c r="K9">
        <v>-2.812379249516998E-2</v>
      </c>
      <c r="L9">
        <v>4.6418681674726701E-2</v>
      </c>
      <c r="M9">
        <v>-3.8511994047976193E-2</v>
      </c>
      <c r="N9">
        <v>1.819140076560306E-2</v>
      </c>
      <c r="O9">
        <v>-4.5067668270673079E-2</v>
      </c>
      <c r="P9">
        <v>3.9503198012792052E-3</v>
      </c>
    </row>
    <row r="10" spans="1:16" x14ac:dyDescent="0.35">
      <c r="A10" s="1">
        <v>8</v>
      </c>
      <c r="B10" t="s">
        <v>21</v>
      </c>
      <c r="C10" t="s">
        <v>16</v>
      </c>
      <c r="D10">
        <v>0.34889745958983842</v>
      </c>
      <c r="E10">
        <v>-6.508634034536138E-3</v>
      </c>
      <c r="F10">
        <v>-8.418945675782703E-3</v>
      </c>
      <c r="G10">
        <v>-0.41379602318409281</v>
      </c>
      <c r="H10">
        <v>-0.13792231168924679</v>
      </c>
      <c r="I10">
        <v>8.0144960579842314E-3</v>
      </c>
      <c r="J10">
        <v>1.089709958839835E-2</v>
      </c>
      <c r="K10">
        <v>9.9237996951987803E-2</v>
      </c>
      <c r="L10">
        <v>6.2698810795243184E-2</v>
      </c>
      <c r="M10">
        <v>-4.7806463225852913E-2</v>
      </c>
      <c r="N10">
        <v>-1.8626186504746019E-2</v>
      </c>
      <c r="O10">
        <v>0.13014916059664239</v>
      </c>
      <c r="P10">
        <v>0.27270598682394731</v>
      </c>
    </row>
    <row r="11" spans="1:16" x14ac:dyDescent="0.35">
      <c r="A11" s="1">
        <v>9</v>
      </c>
      <c r="B11" t="s">
        <v>21</v>
      </c>
      <c r="C11" t="s">
        <v>17</v>
      </c>
      <c r="D11">
        <v>0.3013429973719895</v>
      </c>
      <c r="E11">
        <v>8.8942435769743082E-3</v>
      </c>
      <c r="F11">
        <v>-4.8067968271873089E-2</v>
      </c>
      <c r="G11">
        <v>-0.19624753699014799</v>
      </c>
      <c r="H11">
        <v>-0.41289793959175841</v>
      </c>
      <c r="I11">
        <v>1.8139752559010239E-2</v>
      </c>
      <c r="J11">
        <v>-2.1322453289813161E-2</v>
      </c>
      <c r="K11">
        <v>0.1291450925803703</v>
      </c>
      <c r="L11">
        <v>0.1032781731126925</v>
      </c>
      <c r="M11">
        <v>-4.7768927075708303E-2</v>
      </c>
      <c r="N11">
        <v>-1.078429913719655E-2</v>
      </c>
      <c r="O11">
        <v>0.63343818175272704</v>
      </c>
      <c r="P11">
        <v>0.43929910119640481</v>
      </c>
    </row>
    <row r="12" spans="1:16" x14ac:dyDescent="0.35">
      <c r="A12" s="1">
        <v>10</v>
      </c>
      <c r="B12" t="s">
        <v>21</v>
      </c>
      <c r="C12" t="s">
        <v>18</v>
      </c>
      <c r="D12">
        <v>0.14197919191676769</v>
      </c>
      <c r="E12">
        <v>1.0211848847395391E-2</v>
      </c>
      <c r="F12">
        <v>-5.7492709970839877E-2</v>
      </c>
      <c r="G12">
        <v>-0.71578414313657257</v>
      </c>
      <c r="H12">
        <v>-0.32806681626726508</v>
      </c>
      <c r="I12">
        <v>5.5491485965943867E-2</v>
      </c>
      <c r="J12">
        <v>4.5225684902739607E-2</v>
      </c>
      <c r="K12">
        <v>0.15779496717986871</v>
      </c>
      <c r="L12">
        <v>9.3848055392221574E-2</v>
      </c>
      <c r="M12">
        <v>-2.0986163944655779E-2</v>
      </c>
      <c r="N12">
        <v>-3.8196344785379137E-2</v>
      </c>
      <c r="O12">
        <v>0.23824636098544391</v>
      </c>
      <c r="P12">
        <v>0.38603146412585648</v>
      </c>
    </row>
    <row r="13" spans="1:16" x14ac:dyDescent="0.35">
      <c r="A13" s="1">
        <v>11</v>
      </c>
      <c r="B13" t="s">
        <v>21</v>
      </c>
      <c r="C13" t="s">
        <v>19</v>
      </c>
      <c r="D13">
        <v>0.41678912315649258</v>
      </c>
      <c r="E13">
        <v>-3.9669278677114707E-3</v>
      </c>
      <c r="F13">
        <v>-0.1005934263737055</v>
      </c>
      <c r="G13">
        <v>-0.35820200880803521</v>
      </c>
      <c r="H13">
        <v>-0.30054734618938478</v>
      </c>
      <c r="I13">
        <v>4.6420985683942734E-3</v>
      </c>
      <c r="J13">
        <v>1.4157752631010521E-2</v>
      </c>
      <c r="K13">
        <v>0.10511322045288179</v>
      </c>
      <c r="L13">
        <v>8.8977571910287642E-2</v>
      </c>
      <c r="M13">
        <v>-5.0317449269797081E-2</v>
      </c>
      <c r="N13">
        <v>-1.770794283177133E-2</v>
      </c>
      <c r="O13">
        <v>0.38721658886635552</v>
      </c>
      <c r="P13">
        <v>0.3575419101676407</v>
      </c>
    </row>
    <row r="14" spans="1:16" x14ac:dyDescent="0.35">
      <c r="A14" s="1">
        <v>12</v>
      </c>
      <c r="B14" t="s">
        <v>22</v>
      </c>
      <c r="C14" t="s">
        <v>16</v>
      </c>
      <c r="D14">
        <v>0.24480462011550291</v>
      </c>
      <c r="E14">
        <v>4.4416110402760072E-3</v>
      </c>
      <c r="F14">
        <v>5.212630315757894E-3</v>
      </c>
      <c r="G14">
        <v>-0.28132903322583058</v>
      </c>
      <c r="H14">
        <v>5.3926348158703967E-3</v>
      </c>
      <c r="I14">
        <v>8.6966174154353856E-2</v>
      </c>
      <c r="J14">
        <v>3.8471461786544661E-2</v>
      </c>
      <c r="K14">
        <v>0.16597464936623421</v>
      </c>
      <c r="L14">
        <v>4.8446711167779197E-2</v>
      </c>
      <c r="M14">
        <v>-4.2773569339233479E-2</v>
      </c>
      <c r="N14">
        <v>4.0124503112577807E-2</v>
      </c>
      <c r="O14">
        <v>0.10694067351683791</v>
      </c>
      <c r="P14">
        <v>0.2380604515112878</v>
      </c>
    </row>
    <row r="15" spans="1:16" x14ac:dyDescent="0.35">
      <c r="A15" s="1">
        <v>13</v>
      </c>
      <c r="B15" t="s">
        <v>22</v>
      </c>
      <c r="C15" t="s">
        <v>17</v>
      </c>
      <c r="D15">
        <v>0.1834530863271582</v>
      </c>
      <c r="E15">
        <v>4.5092627315682893E-2</v>
      </c>
      <c r="F15">
        <v>-0.1207065176629416</v>
      </c>
      <c r="G15">
        <v>-9.021225530638266E-2</v>
      </c>
      <c r="H15">
        <v>-0.25424885622140547</v>
      </c>
      <c r="I15">
        <v>4.2485562139053468E-2</v>
      </c>
      <c r="J15">
        <v>-1.1878796969924251E-2</v>
      </c>
      <c r="K15">
        <v>0.2002955073876847</v>
      </c>
      <c r="L15">
        <v>-4.1993549838745967E-2</v>
      </c>
      <c r="M15">
        <v>-6.7146178654466357E-2</v>
      </c>
      <c r="N15">
        <v>-1.4515862896572409E-2</v>
      </c>
      <c r="O15">
        <v>0.65278331958298963</v>
      </c>
      <c r="P15">
        <v>0.4211475286882172</v>
      </c>
    </row>
    <row r="16" spans="1:16" x14ac:dyDescent="0.35">
      <c r="A16" s="1">
        <v>14</v>
      </c>
      <c r="B16" t="s">
        <v>22</v>
      </c>
      <c r="C16" t="s">
        <v>18</v>
      </c>
      <c r="D16">
        <v>9.349433735843396E-2</v>
      </c>
      <c r="E16">
        <v>5.3521338033450827E-2</v>
      </c>
      <c r="F16">
        <v>5.1676291907297679E-3</v>
      </c>
      <c r="G16">
        <v>-0.59417685442136048</v>
      </c>
      <c r="H16">
        <v>-0.15850146253656339</v>
      </c>
      <c r="I16">
        <v>5.0210755268881732E-2</v>
      </c>
      <c r="J16">
        <v>3.7295432385809638E-2</v>
      </c>
      <c r="K16">
        <v>0.23845646141153529</v>
      </c>
      <c r="L16">
        <v>-3.27443186079652E-2</v>
      </c>
      <c r="M16">
        <v>-4.1365034125853149E-2</v>
      </c>
      <c r="N16">
        <v>1.946748668716718E-2</v>
      </c>
      <c r="O16">
        <v>0.27367584189604738</v>
      </c>
      <c r="P16">
        <v>0.39725193129828251</v>
      </c>
    </row>
    <row r="17" spans="1:16" x14ac:dyDescent="0.35">
      <c r="A17" s="1">
        <v>15</v>
      </c>
      <c r="B17" t="s">
        <v>22</v>
      </c>
      <c r="C17" t="s">
        <v>19</v>
      </c>
      <c r="D17">
        <v>0.27110927773194332</v>
      </c>
      <c r="E17">
        <v>1.5894397359934E-2</v>
      </c>
      <c r="F17">
        <v>-8.8203705092627316E-2</v>
      </c>
      <c r="G17">
        <v>-0.2279606990174754</v>
      </c>
      <c r="H17">
        <v>-8.2934073351833795E-2</v>
      </c>
      <c r="I17">
        <v>5.6537913447836187E-2</v>
      </c>
      <c r="J17">
        <v>1.3522838070951769E-2</v>
      </c>
      <c r="K17">
        <v>0.1978774469361734</v>
      </c>
      <c r="L17">
        <v>2.3466586664666621E-2</v>
      </c>
      <c r="M17">
        <v>-4.9832745818645469E-2</v>
      </c>
      <c r="N17">
        <v>1.3524338108452711E-2</v>
      </c>
      <c r="O17">
        <v>0.32951473786844671</v>
      </c>
      <c r="P17">
        <v>0.31251781294532371</v>
      </c>
    </row>
    <row r="18" spans="1:16" x14ac:dyDescent="0.35">
      <c r="A18" s="1">
        <v>16</v>
      </c>
      <c r="B18" t="s">
        <v>23</v>
      </c>
      <c r="C18" t="s">
        <v>16</v>
      </c>
      <c r="D18">
        <v>0.31254739418957678</v>
      </c>
      <c r="E18">
        <v>3.0540026160104639E-2</v>
      </c>
      <c r="F18">
        <v>-1.162084648338593E-3</v>
      </c>
      <c r="G18">
        <v>-0.38693626774507101</v>
      </c>
      <c r="H18">
        <v>2.6564842259369038E-2</v>
      </c>
      <c r="I18">
        <v>1.360891843567374E-2</v>
      </c>
      <c r="J18">
        <v>1.0144648578594311E-2</v>
      </c>
      <c r="K18">
        <v>0.11647160188640759</v>
      </c>
      <c r="L18">
        <v>4.5917847671390677E-2</v>
      </c>
      <c r="M18">
        <v>-3.3825639302557213E-2</v>
      </c>
      <c r="N18">
        <v>-3.5161388645554577E-2</v>
      </c>
      <c r="O18">
        <v>-9.8360073440293769E-3</v>
      </c>
      <c r="P18">
        <v>0.2286764667058668</v>
      </c>
    </row>
    <row r="19" spans="1:16" x14ac:dyDescent="0.35">
      <c r="A19" s="1">
        <v>17</v>
      </c>
      <c r="B19" t="s">
        <v>23</v>
      </c>
      <c r="C19" t="s">
        <v>17</v>
      </c>
      <c r="D19">
        <v>0.1029550358201433</v>
      </c>
      <c r="E19">
        <v>4.9487717950871812E-2</v>
      </c>
      <c r="F19">
        <v>-3.506481225924904E-2</v>
      </c>
      <c r="G19">
        <v>-0.1196335665342661</v>
      </c>
      <c r="H19">
        <v>-0.1067242028968116</v>
      </c>
      <c r="I19">
        <v>-1.638649754599018E-2</v>
      </c>
      <c r="J19">
        <v>-3.2099744398977587E-2</v>
      </c>
      <c r="K19">
        <v>8.6359449437797747E-2</v>
      </c>
      <c r="L19">
        <v>0.1306118824475298</v>
      </c>
      <c r="M19">
        <v>2.304086016344065E-2</v>
      </c>
      <c r="N19">
        <v>-2.7896847587390351E-2</v>
      </c>
      <c r="O19">
        <v>0.40303764415057658</v>
      </c>
      <c r="P19">
        <v>0.2395395821583286</v>
      </c>
    </row>
    <row r="20" spans="1:16" x14ac:dyDescent="0.35">
      <c r="A20" s="1">
        <v>18</v>
      </c>
      <c r="B20" t="s">
        <v>23</v>
      </c>
      <c r="C20" t="s">
        <v>18</v>
      </c>
      <c r="D20">
        <v>0.13821722486889951</v>
      </c>
      <c r="E20">
        <v>1.154865419461678E-2</v>
      </c>
      <c r="F20">
        <v>4.9597734390937558E-2</v>
      </c>
      <c r="G20">
        <v>-0.5912666530666123</v>
      </c>
      <c r="H20">
        <v>-0.36452027408109627</v>
      </c>
      <c r="I20">
        <v>3.4750795003180013E-2</v>
      </c>
      <c r="J20">
        <v>1.639657758631035E-2</v>
      </c>
      <c r="K20">
        <v>0.1855332221328885</v>
      </c>
      <c r="L20">
        <v>8.4877395509582038E-2</v>
      </c>
      <c r="M20">
        <v>-2.3035676142704568E-2</v>
      </c>
      <c r="N20">
        <v>-3.8156600626402512E-2</v>
      </c>
      <c r="O20">
        <v>0.34861704246816988</v>
      </c>
      <c r="P20">
        <v>0.43821919287677152</v>
      </c>
    </row>
    <row r="21" spans="1:16" x14ac:dyDescent="0.35">
      <c r="A21" s="1">
        <v>19</v>
      </c>
      <c r="B21" t="s">
        <v>23</v>
      </c>
      <c r="C21" t="s">
        <v>19</v>
      </c>
      <c r="D21">
        <v>0.37842698570794281</v>
      </c>
      <c r="E21">
        <v>1.903562814251257E-2</v>
      </c>
      <c r="F21">
        <v>-1.2334321337285349E-2</v>
      </c>
      <c r="G21">
        <v>-0.30072974691898768</v>
      </c>
      <c r="H21">
        <v>-0.29279080316321271</v>
      </c>
      <c r="I21">
        <v>4.2178728714914859E-3</v>
      </c>
      <c r="J21">
        <v>-3.1464029856119423E-2</v>
      </c>
      <c r="K21">
        <v>0.17076509906039619</v>
      </c>
      <c r="L21">
        <v>9.2739058956235826E-2</v>
      </c>
      <c r="M21">
        <v>-4.9884103536414148E-2</v>
      </c>
      <c r="N21">
        <v>-3.6893043572174287E-2</v>
      </c>
      <c r="O21">
        <v>0.42486217944871779</v>
      </c>
      <c r="P21">
        <v>0.46059534638138561</v>
      </c>
    </row>
    <row r="22" spans="1:16" x14ac:dyDescent="0.35">
      <c r="A22" s="1">
        <v>20</v>
      </c>
      <c r="B22" t="s">
        <v>24</v>
      </c>
      <c r="C22" t="s">
        <v>16</v>
      </c>
      <c r="D22">
        <v>0.1649451717806871</v>
      </c>
      <c r="E22">
        <v>-3.8816795267181069E-3</v>
      </c>
      <c r="F22">
        <v>5.4786459145836587E-3</v>
      </c>
      <c r="G22">
        <v>-0.25372027888111548</v>
      </c>
      <c r="H22">
        <v>1.599289597158389E-2</v>
      </c>
      <c r="I22">
        <v>3.9564638258553038E-3</v>
      </c>
      <c r="J22">
        <v>-3.7134004536018138E-2</v>
      </c>
      <c r="K22">
        <v>3.5878223512894047E-2</v>
      </c>
      <c r="L22">
        <v>5.1029580118320483E-2</v>
      </c>
      <c r="M22">
        <v>-4.6260665042660173E-2</v>
      </c>
      <c r="N22">
        <v>-2.9922071688286749E-2</v>
      </c>
      <c r="O22">
        <v>-1.7926919707678832E-2</v>
      </c>
      <c r="P22">
        <v>0.22765319861279451</v>
      </c>
    </row>
    <row r="23" spans="1:16" x14ac:dyDescent="0.35">
      <c r="A23" s="1">
        <v>21</v>
      </c>
      <c r="B23" t="s">
        <v>24</v>
      </c>
      <c r="C23" t="s">
        <v>17</v>
      </c>
      <c r="D23">
        <v>0.19226966507866031</v>
      </c>
      <c r="E23">
        <v>4.2701450805803218E-2</v>
      </c>
      <c r="F23">
        <v>-4.9898887595550383E-2</v>
      </c>
      <c r="G23">
        <v>-0.19027525710102841</v>
      </c>
      <c r="H23">
        <v>-0.2285565622262489</v>
      </c>
      <c r="I23">
        <v>-1.5936255745022981E-2</v>
      </c>
      <c r="J23">
        <v>-9.1927567710270844E-2</v>
      </c>
      <c r="K23">
        <v>7.0700538802155211E-2</v>
      </c>
      <c r="L23">
        <v>8.072336289345157E-2</v>
      </c>
      <c r="M23">
        <v>-2.8945939783759131E-2</v>
      </c>
      <c r="N23">
        <v>-5.4271801087204349E-2</v>
      </c>
      <c r="O23">
        <v>0.57938410953643815</v>
      </c>
      <c r="P23">
        <v>0.37389375157500632</v>
      </c>
    </row>
    <row r="24" spans="1:16" x14ac:dyDescent="0.35">
      <c r="A24" s="1">
        <v>22</v>
      </c>
      <c r="B24" t="s">
        <v>24</v>
      </c>
      <c r="C24" t="s">
        <v>18</v>
      </c>
      <c r="D24">
        <v>7.8891963567854273E-2</v>
      </c>
      <c r="E24">
        <v>-7.5992943971775889E-3</v>
      </c>
      <c r="F24">
        <v>0.12954704618818469</v>
      </c>
      <c r="G24">
        <v>-0.67442602570410282</v>
      </c>
      <c r="H24">
        <v>-0.19283664334657341</v>
      </c>
      <c r="I24">
        <v>4.7719390877563508E-2</v>
      </c>
      <c r="J24">
        <v>-2.266204264817059E-2</v>
      </c>
      <c r="K24">
        <v>0.1430826203304813</v>
      </c>
      <c r="L24">
        <v>7.0636026544106181E-2</v>
      </c>
      <c r="M24">
        <v>-2.3221340885363539E-2</v>
      </c>
      <c r="N24">
        <v>-4.2451465805863217E-2</v>
      </c>
      <c r="O24">
        <v>0.1913946215784863</v>
      </c>
      <c r="P24">
        <v>0.3670995163980656</v>
      </c>
    </row>
    <row r="25" spans="1:16" x14ac:dyDescent="0.35">
      <c r="A25" s="1">
        <v>23</v>
      </c>
      <c r="B25" t="s">
        <v>24</v>
      </c>
      <c r="C25" t="s">
        <v>19</v>
      </c>
      <c r="D25">
        <v>0.190748442993772</v>
      </c>
      <c r="E25">
        <v>2.4937155748622999E-2</v>
      </c>
      <c r="F25">
        <v>-7.8307513230052919E-4</v>
      </c>
      <c r="G25">
        <v>-0.25374562298249193</v>
      </c>
      <c r="H25">
        <v>-0.2401149124596498</v>
      </c>
      <c r="I25">
        <v>3.178572714290857E-4</v>
      </c>
      <c r="J25">
        <v>-6.565667862671451E-2</v>
      </c>
      <c r="K25">
        <v>9.3643574574298297E-2</v>
      </c>
      <c r="L25">
        <v>9.0943467773871092E-2</v>
      </c>
      <c r="M25">
        <v>-3.5420685682742731E-2</v>
      </c>
      <c r="N25">
        <v>-5.3350197400789598E-2</v>
      </c>
      <c r="O25">
        <v>0.29484386737546953</v>
      </c>
      <c r="P25">
        <v>0.4445235380941524</v>
      </c>
    </row>
    <row r="27" spans="1:16" x14ac:dyDescent="0.35">
      <c r="D27">
        <f>SUM(D29:D52)</f>
        <v>21</v>
      </c>
      <c r="E27">
        <f t="shared" ref="E27:P27" si="0">SUM(E29:E52)</f>
        <v>0</v>
      </c>
      <c r="F27">
        <f t="shared" si="0"/>
        <v>8</v>
      </c>
      <c r="G27">
        <f t="shared" si="0"/>
        <v>20</v>
      </c>
      <c r="H27">
        <f t="shared" si="0"/>
        <v>12</v>
      </c>
      <c r="I27">
        <f t="shared" si="0"/>
        <v>0</v>
      </c>
      <c r="J27">
        <f t="shared" si="0"/>
        <v>3</v>
      </c>
      <c r="K27">
        <f t="shared" si="0"/>
        <v>11</v>
      </c>
      <c r="L27">
        <f t="shared" si="0"/>
        <v>2</v>
      </c>
      <c r="M27">
        <f t="shared" si="0"/>
        <v>0</v>
      </c>
      <c r="N27">
        <f t="shared" si="0"/>
        <v>0</v>
      </c>
      <c r="O27">
        <f t="shared" si="0"/>
        <v>14</v>
      </c>
      <c r="P27">
        <f t="shared" si="0"/>
        <v>16</v>
      </c>
    </row>
    <row r="29" spans="1:16" x14ac:dyDescent="0.35">
      <c r="D29">
        <f>IF(ABS(D2)&gt;0.1, 1, 0)</f>
        <v>1</v>
      </c>
      <c r="E29">
        <f t="shared" ref="E29:P29" si="1">IF(ABS(E2)&gt;0.1, 1, 0)</f>
        <v>0</v>
      </c>
      <c r="F29">
        <f t="shared" si="1"/>
        <v>1</v>
      </c>
      <c r="G29">
        <f t="shared" si="1"/>
        <v>0</v>
      </c>
      <c r="H29">
        <f t="shared" si="1"/>
        <v>0</v>
      </c>
      <c r="I29">
        <f t="shared" si="1"/>
        <v>0</v>
      </c>
      <c r="J29">
        <f t="shared" si="1"/>
        <v>0</v>
      </c>
      <c r="K29">
        <f t="shared" si="1"/>
        <v>0</v>
      </c>
      <c r="L29">
        <f t="shared" si="1"/>
        <v>0</v>
      </c>
      <c r="M29">
        <f t="shared" si="1"/>
        <v>0</v>
      </c>
      <c r="N29">
        <f t="shared" si="1"/>
        <v>0</v>
      </c>
      <c r="O29">
        <f t="shared" si="1"/>
        <v>0</v>
      </c>
      <c r="P29">
        <f t="shared" si="1"/>
        <v>0</v>
      </c>
    </row>
    <row r="30" spans="1:16" x14ac:dyDescent="0.35">
      <c r="D30">
        <f t="shared" ref="D30:P53" si="2">IF(ABS(D3)&gt;0.1, 1, 0)</f>
        <v>1</v>
      </c>
      <c r="E30">
        <f t="shared" si="2"/>
        <v>0</v>
      </c>
      <c r="F30">
        <f t="shared" si="2"/>
        <v>1</v>
      </c>
      <c r="G30">
        <f t="shared" si="2"/>
        <v>0</v>
      </c>
      <c r="H30">
        <f t="shared" si="2"/>
        <v>0</v>
      </c>
      <c r="I30">
        <f t="shared" si="2"/>
        <v>0</v>
      </c>
      <c r="J30">
        <f t="shared" si="2"/>
        <v>1</v>
      </c>
      <c r="K30">
        <f t="shared" si="2"/>
        <v>0</v>
      </c>
      <c r="L30">
        <f t="shared" si="2"/>
        <v>0</v>
      </c>
      <c r="M30">
        <f t="shared" si="2"/>
        <v>0</v>
      </c>
      <c r="N30">
        <f t="shared" si="2"/>
        <v>0</v>
      </c>
      <c r="O30">
        <f t="shared" si="2"/>
        <v>0</v>
      </c>
      <c r="P30">
        <f t="shared" si="2"/>
        <v>0</v>
      </c>
    </row>
    <row r="31" spans="1:16" x14ac:dyDescent="0.35">
      <c r="D31">
        <f t="shared" si="2"/>
        <v>1</v>
      </c>
      <c r="E31">
        <f t="shared" si="2"/>
        <v>0</v>
      </c>
      <c r="F31">
        <f t="shared" si="2"/>
        <v>1</v>
      </c>
      <c r="G31">
        <f t="shared" si="2"/>
        <v>1</v>
      </c>
      <c r="H31">
        <f t="shared" si="2"/>
        <v>0</v>
      </c>
      <c r="I31">
        <f t="shared" si="2"/>
        <v>0</v>
      </c>
      <c r="J31">
        <f t="shared" si="2"/>
        <v>1</v>
      </c>
      <c r="K31">
        <f t="shared" si="2"/>
        <v>0</v>
      </c>
      <c r="L31">
        <f t="shared" si="2"/>
        <v>0</v>
      </c>
      <c r="M31">
        <f t="shared" si="2"/>
        <v>0</v>
      </c>
      <c r="N31">
        <f t="shared" si="2"/>
        <v>0</v>
      </c>
      <c r="O31">
        <f t="shared" si="2"/>
        <v>0</v>
      </c>
      <c r="P31">
        <f t="shared" si="2"/>
        <v>0</v>
      </c>
    </row>
    <row r="32" spans="1:16" x14ac:dyDescent="0.35">
      <c r="D32">
        <f t="shared" si="2"/>
        <v>1</v>
      </c>
      <c r="E32">
        <f t="shared" si="2"/>
        <v>0</v>
      </c>
      <c r="F32">
        <f t="shared" si="2"/>
        <v>1</v>
      </c>
      <c r="G32">
        <f t="shared" si="2"/>
        <v>0</v>
      </c>
      <c r="H32">
        <f t="shared" si="2"/>
        <v>0</v>
      </c>
      <c r="I32">
        <f t="shared" si="2"/>
        <v>0</v>
      </c>
      <c r="J32">
        <f t="shared" si="2"/>
        <v>0</v>
      </c>
      <c r="K32">
        <f t="shared" si="2"/>
        <v>0</v>
      </c>
      <c r="L32">
        <f t="shared" si="2"/>
        <v>0</v>
      </c>
      <c r="M32">
        <f t="shared" si="2"/>
        <v>0</v>
      </c>
      <c r="N32">
        <f t="shared" si="2"/>
        <v>0</v>
      </c>
      <c r="O32">
        <f t="shared" si="2"/>
        <v>0</v>
      </c>
      <c r="P32">
        <f t="shared" si="2"/>
        <v>0</v>
      </c>
    </row>
    <row r="33" spans="4:16" x14ac:dyDescent="0.35">
      <c r="D33">
        <f t="shared" si="2"/>
        <v>1</v>
      </c>
      <c r="E33">
        <f t="shared" si="2"/>
        <v>0</v>
      </c>
      <c r="F33">
        <f t="shared" si="2"/>
        <v>0</v>
      </c>
      <c r="G33">
        <f t="shared" si="2"/>
        <v>1</v>
      </c>
      <c r="H33">
        <f t="shared" si="2"/>
        <v>0</v>
      </c>
      <c r="I33">
        <f t="shared" si="2"/>
        <v>0</v>
      </c>
      <c r="J33">
        <f t="shared" si="2"/>
        <v>0</v>
      </c>
      <c r="K33">
        <f t="shared" si="2"/>
        <v>0</v>
      </c>
      <c r="L33">
        <f t="shared" si="2"/>
        <v>0</v>
      </c>
      <c r="M33">
        <f t="shared" si="2"/>
        <v>0</v>
      </c>
      <c r="N33">
        <f t="shared" si="2"/>
        <v>0</v>
      </c>
      <c r="O33">
        <f t="shared" si="2"/>
        <v>0</v>
      </c>
      <c r="P33">
        <f t="shared" si="2"/>
        <v>0</v>
      </c>
    </row>
    <row r="34" spans="4:16" x14ac:dyDescent="0.35">
      <c r="D34">
        <f t="shared" si="2"/>
        <v>1</v>
      </c>
      <c r="E34">
        <f t="shared" si="2"/>
        <v>0</v>
      </c>
      <c r="F34">
        <f t="shared" si="2"/>
        <v>0</v>
      </c>
      <c r="G34">
        <f t="shared" si="2"/>
        <v>1</v>
      </c>
      <c r="H34">
        <f t="shared" si="2"/>
        <v>0</v>
      </c>
      <c r="I34">
        <f t="shared" si="2"/>
        <v>0</v>
      </c>
      <c r="J34">
        <f t="shared" si="2"/>
        <v>1</v>
      </c>
      <c r="K34">
        <f t="shared" si="2"/>
        <v>0</v>
      </c>
      <c r="L34">
        <f t="shared" si="2"/>
        <v>0</v>
      </c>
      <c r="M34">
        <f t="shared" si="2"/>
        <v>0</v>
      </c>
      <c r="N34">
        <f t="shared" si="2"/>
        <v>0</v>
      </c>
      <c r="O34">
        <f t="shared" si="2"/>
        <v>0</v>
      </c>
      <c r="P34">
        <f t="shared" si="2"/>
        <v>0</v>
      </c>
    </row>
    <row r="35" spans="4:16" x14ac:dyDescent="0.35">
      <c r="D35">
        <f t="shared" si="2"/>
        <v>0</v>
      </c>
      <c r="E35">
        <f t="shared" si="2"/>
        <v>0</v>
      </c>
      <c r="F35">
        <f t="shared" si="2"/>
        <v>1</v>
      </c>
      <c r="G35">
        <f t="shared" si="2"/>
        <v>1</v>
      </c>
      <c r="H35">
        <f t="shared" si="2"/>
        <v>0</v>
      </c>
      <c r="I35">
        <f t="shared" si="2"/>
        <v>0</v>
      </c>
      <c r="J35">
        <f t="shared" si="2"/>
        <v>0</v>
      </c>
      <c r="K35">
        <f t="shared" si="2"/>
        <v>0</v>
      </c>
      <c r="L35">
        <f t="shared" si="2"/>
        <v>0</v>
      </c>
      <c r="M35">
        <f t="shared" si="2"/>
        <v>0</v>
      </c>
      <c r="N35">
        <f t="shared" si="2"/>
        <v>0</v>
      </c>
      <c r="O35">
        <f t="shared" si="2"/>
        <v>0</v>
      </c>
      <c r="P35">
        <f t="shared" si="2"/>
        <v>0</v>
      </c>
    </row>
    <row r="36" spans="4:16" x14ac:dyDescent="0.35">
      <c r="D36">
        <f t="shared" si="2"/>
        <v>1</v>
      </c>
      <c r="E36">
        <f t="shared" si="2"/>
        <v>0</v>
      </c>
      <c r="F36">
        <f t="shared" si="2"/>
        <v>0</v>
      </c>
      <c r="G36">
        <f t="shared" si="2"/>
        <v>1</v>
      </c>
      <c r="H36">
        <f t="shared" si="2"/>
        <v>0</v>
      </c>
      <c r="I36">
        <f t="shared" si="2"/>
        <v>0</v>
      </c>
      <c r="J36">
        <f t="shared" si="2"/>
        <v>0</v>
      </c>
      <c r="K36">
        <f t="shared" si="2"/>
        <v>0</v>
      </c>
      <c r="L36">
        <f t="shared" si="2"/>
        <v>0</v>
      </c>
      <c r="M36">
        <f t="shared" si="2"/>
        <v>0</v>
      </c>
      <c r="N36">
        <f t="shared" si="2"/>
        <v>0</v>
      </c>
      <c r="O36">
        <f t="shared" si="2"/>
        <v>0</v>
      </c>
      <c r="P36">
        <f t="shared" si="2"/>
        <v>0</v>
      </c>
    </row>
    <row r="37" spans="4:16" x14ac:dyDescent="0.35">
      <c r="D37">
        <f t="shared" si="2"/>
        <v>1</v>
      </c>
      <c r="E37">
        <f t="shared" si="2"/>
        <v>0</v>
      </c>
      <c r="F37">
        <f t="shared" si="2"/>
        <v>0</v>
      </c>
      <c r="G37">
        <f t="shared" si="2"/>
        <v>1</v>
      </c>
      <c r="H37">
        <f t="shared" si="2"/>
        <v>1</v>
      </c>
      <c r="I37">
        <f t="shared" si="2"/>
        <v>0</v>
      </c>
      <c r="J37">
        <f t="shared" si="2"/>
        <v>0</v>
      </c>
      <c r="K37">
        <f t="shared" si="2"/>
        <v>0</v>
      </c>
      <c r="L37">
        <f t="shared" si="2"/>
        <v>0</v>
      </c>
      <c r="M37">
        <f t="shared" si="2"/>
        <v>0</v>
      </c>
      <c r="N37">
        <f t="shared" si="2"/>
        <v>0</v>
      </c>
      <c r="O37">
        <f t="shared" si="2"/>
        <v>1</v>
      </c>
      <c r="P37">
        <f t="shared" si="2"/>
        <v>1</v>
      </c>
    </row>
    <row r="38" spans="4:16" x14ac:dyDescent="0.35">
      <c r="D38">
        <f t="shared" si="2"/>
        <v>1</v>
      </c>
      <c r="E38">
        <f t="shared" si="2"/>
        <v>0</v>
      </c>
      <c r="F38">
        <f t="shared" si="2"/>
        <v>0</v>
      </c>
      <c r="G38">
        <f t="shared" si="2"/>
        <v>1</v>
      </c>
      <c r="H38">
        <f t="shared" si="2"/>
        <v>1</v>
      </c>
      <c r="I38">
        <f t="shared" si="2"/>
        <v>0</v>
      </c>
      <c r="J38">
        <f t="shared" si="2"/>
        <v>0</v>
      </c>
      <c r="K38">
        <f t="shared" si="2"/>
        <v>1</v>
      </c>
      <c r="L38">
        <f t="shared" si="2"/>
        <v>1</v>
      </c>
      <c r="M38">
        <f t="shared" si="2"/>
        <v>0</v>
      </c>
      <c r="N38">
        <f t="shared" si="2"/>
        <v>0</v>
      </c>
      <c r="O38">
        <f t="shared" si="2"/>
        <v>1</v>
      </c>
      <c r="P38">
        <f t="shared" si="2"/>
        <v>1</v>
      </c>
    </row>
    <row r="39" spans="4:16" x14ac:dyDescent="0.35">
      <c r="D39">
        <f t="shared" si="2"/>
        <v>1</v>
      </c>
      <c r="E39">
        <f t="shared" si="2"/>
        <v>0</v>
      </c>
      <c r="F39">
        <f t="shared" si="2"/>
        <v>0</v>
      </c>
      <c r="G39">
        <f t="shared" si="2"/>
        <v>1</v>
      </c>
      <c r="H39">
        <f t="shared" si="2"/>
        <v>1</v>
      </c>
      <c r="I39">
        <f t="shared" si="2"/>
        <v>0</v>
      </c>
      <c r="J39">
        <f t="shared" si="2"/>
        <v>0</v>
      </c>
      <c r="K39">
        <f t="shared" si="2"/>
        <v>1</v>
      </c>
      <c r="L39">
        <f t="shared" si="2"/>
        <v>0</v>
      </c>
      <c r="M39">
        <f t="shared" si="2"/>
        <v>0</v>
      </c>
      <c r="N39">
        <f t="shared" si="2"/>
        <v>0</v>
      </c>
      <c r="O39">
        <f t="shared" si="2"/>
        <v>1</v>
      </c>
      <c r="P39">
        <f t="shared" si="2"/>
        <v>1</v>
      </c>
    </row>
    <row r="40" spans="4:16" x14ac:dyDescent="0.35">
      <c r="D40">
        <f t="shared" si="2"/>
        <v>1</v>
      </c>
      <c r="E40">
        <f t="shared" si="2"/>
        <v>0</v>
      </c>
      <c r="F40">
        <f t="shared" si="2"/>
        <v>1</v>
      </c>
      <c r="G40">
        <f t="shared" si="2"/>
        <v>1</v>
      </c>
      <c r="H40">
        <f t="shared" si="2"/>
        <v>1</v>
      </c>
      <c r="I40">
        <f t="shared" si="2"/>
        <v>0</v>
      </c>
      <c r="J40">
        <f t="shared" si="2"/>
        <v>0</v>
      </c>
      <c r="K40">
        <f t="shared" si="2"/>
        <v>1</v>
      </c>
      <c r="L40">
        <f t="shared" si="2"/>
        <v>0</v>
      </c>
      <c r="M40">
        <f t="shared" si="2"/>
        <v>0</v>
      </c>
      <c r="N40">
        <f t="shared" si="2"/>
        <v>0</v>
      </c>
      <c r="O40">
        <f t="shared" si="2"/>
        <v>1</v>
      </c>
      <c r="P40">
        <f t="shared" si="2"/>
        <v>1</v>
      </c>
    </row>
    <row r="41" spans="4:16" x14ac:dyDescent="0.35">
      <c r="D41">
        <f t="shared" si="2"/>
        <v>1</v>
      </c>
      <c r="E41">
        <f t="shared" si="2"/>
        <v>0</v>
      </c>
      <c r="F41">
        <f t="shared" si="2"/>
        <v>0</v>
      </c>
      <c r="G41">
        <f t="shared" si="2"/>
        <v>1</v>
      </c>
      <c r="H41">
        <f t="shared" si="2"/>
        <v>0</v>
      </c>
      <c r="I41">
        <f t="shared" si="2"/>
        <v>0</v>
      </c>
      <c r="J41">
        <f t="shared" si="2"/>
        <v>0</v>
      </c>
      <c r="K41">
        <f t="shared" si="2"/>
        <v>1</v>
      </c>
      <c r="L41">
        <f t="shared" si="2"/>
        <v>0</v>
      </c>
      <c r="M41">
        <f t="shared" si="2"/>
        <v>0</v>
      </c>
      <c r="N41">
        <f t="shared" si="2"/>
        <v>0</v>
      </c>
      <c r="O41">
        <f t="shared" si="2"/>
        <v>1</v>
      </c>
      <c r="P41">
        <f t="shared" si="2"/>
        <v>1</v>
      </c>
    </row>
    <row r="42" spans="4:16" x14ac:dyDescent="0.35">
      <c r="D42">
        <f t="shared" si="2"/>
        <v>1</v>
      </c>
      <c r="E42">
        <f t="shared" si="2"/>
        <v>0</v>
      </c>
      <c r="F42">
        <f t="shared" si="2"/>
        <v>1</v>
      </c>
      <c r="G42">
        <f t="shared" si="2"/>
        <v>0</v>
      </c>
      <c r="H42">
        <f t="shared" si="2"/>
        <v>1</v>
      </c>
      <c r="I42">
        <f t="shared" si="2"/>
        <v>0</v>
      </c>
      <c r="J42">
        <f t="shared" si="2"/>
        <v>0</v>
      </c>
      <c r="K42">
        <f t="shared" si="2"/>
        <v>1</v>
      </c>
      <c r="L42">
        <f t="shared" si="2"/>
        <v>0</v>
      </c>
      <c r="M42">
        <f t="shared" si="2"/>
        <v>0</v>
      </c>
      <c r="N42">
        <f t="shared" si="2"/>
        <v>0</v>
      </c>
      <c r="O42">
        <f t="shared" si="2"/>
        <v>1</v>
      </c>
      <c r="P42">
        <f t="shared" si="2"/>
        <v>1</v>
      </c>
    </row>
    <row r="43" spans="4:16" x14ac:dyDescent="0.35">
      <c r="D43">
        <f t="shared" si="2"/>
        <v>0</v>
      </c>
      <c r="E43">
        <f t="shared" si="2"/>
        <v>0</v>
      </c>
      <c r="F43">
        <f t="shared" si="2"/>
        <v>0</v>
      </c>
      <c r="G43">
        <f t="shared" si="2"/>
        <v>1</v>
      </c>
      <c r="H43">
        <f t="shared" si="2"/>
        <v>1</v>
      </c>
      <c r="I43">
        <f t="shared" si="2"/>
        <v>0</v>
      </c>
      <c r="J43">
        <f t="shared" si="2"/>
        <v>0</v>
      </c>
      <c r="K43">
        <f t="shared" si="2"/>
        <v>1</v>
      </c>
      <c r="L43">
        <f t="shared" si="2"/>
        <v>0</v>
      </c>
      <c r="M43">
        <f t="shared" si="2"/>
        <v>0</v>
      </c>
      <c r="N43">
        <f t="shared" si="2"/>
        <v>0</v>
      </c>
      <c r="O43">
        <f t="shared" si="2"/>
        <v>1</v>
      </c>
      <c r="P43">
        <f t="shared" si="2"/>
        <v>1</v>
      </c>
    </row>
    <row r="44" spans="4:16" x14ac:dyDescent="0.35">
      <c r="D44">
        <f t="shared" si="2"/>
        <v>1</v>
      </c>
      <c r="E44">
        <f t="shared" si="2"/>
        <v>0</v>
      </c>
      <c r="F44">
        <f t="shared" si="2"/>
        <v>0</v>
      </c>
      <c r="G44">
        <f t="shared" si="2"/>
        <v>1</v>
      </c>
      <c r="H44">
        <f t="shared" si="2"/>
        <v>0</v>
      </c>
      <c r="I44">
        <f t="shared" si="2"/>
        <v>0</v>
      </c>
      <c r="J44">
        <f t="shared" si="2"/>
        <v>0</v>
      </c>
      <c r="K44">
        <f t="shared" si="2"/>
        <v>1</v>
      </c>
      <c r="L44">
        <f t="shared" si="2"/>
        <v>0</v>
      </c>
      <c r="M44">
        <f t="shared" si="2"/>
        <v>0</v>
      </c>
      <c r="N44">
        <f t="shared" si="2"/>
        <v>0</v>
      </c>
      <c r="O44">
        <f t="shared" si="2"/>
        <v>1</v>
      </c>
      <c r="P44">
        <f t="shared" si="2"/>
        <v>1</v>
      </c>
    </row>
    <row r="45" spans="4:16" x14ac:dyDescent="0.35">
      <c r="D45">
        <f t="shared" si="2"/>
        <v>1</v>
      </c>
      <c r="E45">
        <f t="shared" si="2"/>
        <v>0</v>
      </c>
      <c r="F45">
        <f t="shared" si="2"/>
        <v>0</v>
      </c>
      <c r="G45">
        <f t="shared" si="2"/>
        <v>1</v>
      </c>
      <c r="H45">
        <f t="shared" si="2"/>
        <v>0</v>
      </c>
      <c r="I45">
        <f t="shared" si="2"/>
        <v>0</v>
      </c>
      <c r="J45">
        <f t="shared" si="2"/>
        <v>0</v>
      </c>
      <c r="K45">
        <f t="shared" si="2"/>
        <v>1</v>
      </c>
      <c r="L45">
        <f t="shared" si="2"/>
        <v>0</v>
      </c>
      <c r="M45">
        <f t="shared" si="2"/>
        <v>0</v>
      </c>
      <c r="N45">
        <f t="shared" si="2"/>
        <v>0</v>
      </c>
      <c r="O45">
        <f t="shared" si="2"/>
        <v>0</v>
      </c>
      <c r="P45">
        <f t="shared" si="2"/>
        <v>1</v>
      </c>
    </row>
    <row r="46" spans="4:16" x14ac:dyDescent="0.35">
      <c r="D46">
        <f t="shared" si="2"/>
        <v>1</v>
      </c>
      <c r="E46">
        <f t="shared" si="2"/>
        <v>0</v>
      </c>
      <c r="F46">
        <f t="shared" si="2"/>
        <v>0</v>
      </c>
      <c r="G46">
        <f t="shared" si="2"/>
        <v>1</v>
      </c>
      <c r="H46">
        <f t="shared" si="2"/>
        <v>1</v>
      </c>
      <c r="I46">
        <f t="shared" si="2"/>
        <v>0</v>
      </c>
      <c r="J46">
        <f t="shared" si="2"/>
        <v>0</v>
      </c>
      <c r="K46">
        <f t="shared" si="2"/>
        <v>0</v>
      </c>
      <c r="L46">
        <f t="shared" si="2"/>
        <v>1</v>
      </c>
      <c r="M46">
        <f t="shared" si="2"/>
        <v>0</v>
      </c>
      <c r="N46">
        <f t="shared" si="2"/>
        <v>0</v>
      </c>
      <c r="O46">
        <f t="shared" si="2"/>
        <v>1</v>
      </c>
      <c r="P46">
        <f t="shared" si="2"/>
        <v>1</v>
      </c>
    </row>
    <row r="47" spans="4:16" x14ac:dyDescent="0.35">
      <c r="D47">
        <f t="shared" si="2"/>
        <v>1</v>
      </c>
      <c r="E47">
        <f t="shared" si="2"/>
        <v>0</v>
      </c>
      <c r="F47">
        <f t="shared" si="2"/>
        <v>0</v>
      </c>
      <c r="G47">
        <f t="shared" si="2"/>
        <v>1</v>
      </c>
      <c r="H47">
        <f t="shared" si="2"/>
        <v>1</v>
      </c>
      <c r="I47">
        <f t="shared" si="2"/>
        <v>0</v>
      </c>
      <c r="J47">
        <f t="shared" si="2"/>
        <v>0</v>
      </c>
      <c r="K47">
        <f t="shared" si="2"/>
        <v>1</v>
      </c>
      <c r="L47">
        <f t="shared" si="2"/>
        <v>0</v>
      </c>
      <c r="M47">
        <f t="shared" si="2"/>
        <v>0</v>
      </c>
      <c r="N47">
        <f t="shared" si="2"/>
        <v>0</v>
      </c>
      <c r="O47">
        <f t="shared" si="2"/>
        <v>1</v>
      </c>
      <c r="P47">
        <f t="shared" si="2"/>
        <v>1</v>
      </c>
    </row>
    <row r="48" spans="4:16" x14ac:dyDescent="0.35">
      <c r="D48">
        <f t="shared" si="2"/>
        <v>1</v>
      </c>
      <c r="E48">
        <f t="shared" si="2"/>
        <v>0</v>
      </c>
      <c r="F48">
        <f t="shared" si="2"/>
        <v>0</v>
      </c>
      <c r="G48">
        <f t="shared" si="2"/>
        <v>1</v>
      </c>
      <c r="H48">
        <f t="shared" si="2"/>
        <v>1</v>
      </c>
      <c r="I48">
        <f t="shared" si="2"/>
        <v>0</v>
      </c>
      <c r="J48">
        <f t="shared" si="2"/>
        <v>0</v>
      </c>
      <c r="K48">
        <f t="shared" si="2"/>
        <v>1</v>
      </c>
      <c r="L48">
        <f t="shared" si="2"/>
        <v>0</v>
      </c>
      <c r="M48">
        <f t="shared" si="2"/>
        <v>0</v>
      </c>
      <c r="N48">
        <f t="shared" si="2"/>
        <v>0</v>
      </c>
      <c r="O48">
        <f t="shared" si="2"/>
        <v>1</v>
      </c>
      <c r="P48">
        <f t="shared" si="2"/>
        <v>1</v>
      </c>
    </row>
    <row r="49" spans="4:16" x14ac:dyDescent="0.35">
      <c r="D49">
        <f t="shared" si="2"/>
        <v>1</v>
      </c>
      <c r="E49">
        <f t="shared" si="2"/>
        <v>0</v>
      </c>
      <c r="F49">
        <f t="shared" si="2"/>
        <v>0</v>
      </c>
      <c r="G49">
        <f t="shared" si="2"/>
        <v>1</v>
      </c>
      <c r="H49">
        <f t="shared" ref="E49:P52" si="3">IF(ABS(H22)&gt;0.1, 1, 0)</f>
        <v>0</v>
      </c>
      <c r="I49">
        <f t="shared" si="3"/>
        <v>0</v>
      </c>
      <c r="J49">
        <f t="shared" si="3"/>
        <v>0</v>
      </c>
      <c r="K49">
        <f t="shared" si="3"/>
        <v>0</v>
      </c>
      <c r="L49">
        <f t="shared" si="3"/>
        <v>0</v>
      </c>
      <c r="M49">
        <f t="shared" si="3"/>
        <v>0</v>
      </c>
      <c r="N49">
        <f t="shared" si="3"/>
        <v>0</v>
      </c>
      <c r="O49">
        <f t="shared" si="3"/>
        <v>0</v>
      </c>
      <c r="P49">
        <f t="shared" si="3"/>
        <v>1</v>
      </c>
    </row>
    <row r="50" spans="4:16" x14ac:dyDescent="0.35">
      <c r="D50">
        <f t="shared" si="2"/>
        <v>1</v>
      </c>
      <c r="E50">
        <f t="shared" si="3"/>
        <v>0</v>
      </c>
      <c r="F50">
        <f t="shared" si="3"/>
        <v>0</v>
      </c>
      <c r="G50">
        <f t="shared" si="3"/>
        <v>1</v>
      </c>
      <c r="H50">
        <f t="shared" si="3"/>
        <v>1</v>
      </c>
      <c r="I50">
        <f t="shared" si="3"/>
        <v>0</v>
      </c>
      <c r="J50">
        <f t="shared" si="3"/>
        <v>0</v>
      </c>
      <c r="K50">
        <f t="shared" si="3"/>
        <v>0</v>
      </c>
      <c r="L50">
        <f t="shared" si="3"/>
        <v>0</v>
      </c>
      <c r="M50">
        <f t="shared" si="3"/>
        <v>0</v>
      </c>
      <c r="N50">
        <f t="shared" si="3"/>
        <v>0</v>
      </c>
      <c r="O50">
        <f t="shared" si="3"/>
        <v>1</v>
      </c>
      <c r="P50">
        <f t="shared" si="3"/>
        <v>1</v>
      </c>
    </row>
    <row r="51" spans="4:16" x14ac:dyDescent="0.35">
      <c r="D51">
        <f t="shared" si="2"/>
        <v>0</v>
      </c>
      <c r="E51">
        <f t="shared" si="3"/>
        <v>0</v>
      </c>
      <c r="F51">
        <f t="shared" si="3"/>
        <v>1</v>
      </c>
      <c r="G51">
        <f t="shared" si="3"/>
        <v>1</v>
      </c>
      <c r="H51">
        <f t="shared" si="3"/>
        <v>1</v>
      </c>
      <c r="I51">
        <f t="shared" si="3"/>
        <v>0</v>
      </c>
      <c r="J51">
        <f t="shared" si="3"/>
        <v>0</v>
      </c>
      <c r="K51">
        <f t="shared" si="3"/>
        <v>1</v>
      </c>
      <c r="L51">
        <f t="shared" si="3"/>
        <v>0</v>
      </c>
      <c r="M51">
        <f t="shared" si="3"/>
        <v>0</v>
      </c>
      <c r="N51">
        <f t="shared" si="3"/>
        <v>0</v>
      </c>
      <c r="O51">
        <f t="shared" si="3"/>
        <v>1</v>
      </c>
      <c r="P51">
        <f t="shared" si="3"/>
        <v>1</v>
      </c>
    </row>
    <row r="52" spans="4:16" x14ac:dyDescent="0.35">
      <c r="D52">
        <f t="shared" si="2"/>
        <v>1</v>
      </c>
      <c r="E52">
        <f t="shared" si="3"/>
        <v>0</v>
      </c>
      <c r="F52">
        <f t="shared" si="3"/>
        <v>0</v>
      </c>
      <c r="G52">
        <f t="shared" si="3"/>
        <v>1</v>
      </c>
      <c r="H52">
        <f t="shared" si="3"/>
        <v>1</v>
      </c>
      <c r="I52">
        <f t="shared" si="3"/>
        <v>0</v>
      </c>
      <c r="J52">
        <f t="shared" si="3"/>
        <v>0</v>
      </c>
      <c r="K52">
        <f t="shared" si="3"/>
        <v>0</v>
      </c>
      <c r="L52">
        <f t="shared" si="3"/>
        <v>0</v>
      </c>
      <c r="M52">
        <f t="shared" si="3"/>
        <v>0</v>
      </c>
      <c r="N52">
        <f t="shared" si="3"/>
        <v>0</v>
      </c>
      <c r="O52">
        <f t="shared" si="3"/>
        <v>1</v>
      </c>
      <c r="P52">
        <f t="shared" si="3"/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Bhagwat, Sarang Sunil</cp:lastModifiedBy>
  <dcterms:created xsi:type="dcterms:W3CDTF">2024-12-23T21:22:28Z</dcterms:created>
  <dcterms:modified xsi:type="dcterms:W3CDTF">2024-12-23T22:31:05Z</dcterms:modified>
</cp:coreProperties>
</file>