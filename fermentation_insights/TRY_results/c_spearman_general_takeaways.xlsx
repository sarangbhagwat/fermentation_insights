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fermentation_insights\fermentation_insights\TRY_results\"/>
    </mc:Choice>
  </mc:AlternateContent>
  <xr:revisionPtr revIDLastSave="0" documentId="13_ncr:1_{86B6FDC2-48EB-4DFF-B5DB-2F9F9178A28F}" xr6:coauthVersionLast="47" xr6:coauthVersionMax="47" xr10:uidLastSave="{00000000-0000-0000-0000-000000000000}"/>
  <bookViews>
    <workbookView xWindow="-90" yWindow="0" windowWidth="12980" windowHeight="1537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8" i="1" l="1"/>
  <c r="I30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P48" i="1"/>
  <c r="O48" i="1"/>
  <c r="N48" i="1"/>
  <c r="M48" i="1"/>
  <c r="L48" i="1"/>
  <c r="K48" i="1"/>
  <c r="J48" i="1"/>
  <c r="H48" i="1"/>
  <c r="G48" i="1"/>
  <c r="F48" i="1"/>
  <c r="E48" i="1"/>
  <c r="D48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P30" i="1"/>
  <c r="O30" i="1"/>
  <c r="O27" i="1" s="1"/>
  <c r="N30" i="1"/>
  <c r="N27" i="1" s="1"/>
  <c r="M30" i="1"/>
  <c r="M27" i="1" s="1"/>
  <c r="L30" i="1"/>
  <c r="L27" i="1" s="1"/>
  <c r="K30" i="1"/>
  <c r="K27" i="1" s="1"/>
  <c r="J30" i="1"/>
  <c r="J27" i="1" s="1"/>
  <c r="H30" i="1"/>
  <c r="H27" i="1" s="1"/>
  <c r="G30" i="1"/>
  <c r="G27" i="1" s="1"/>
  <c r="F30" i="1"/>
  <c r="F27" i="1" s="1"/>
  <c r="E30" i="1"/>
  <c r="E27" i="1" s="1"/>
  <c r="D30" i="1"/>
  <c r="D27" i="1" s="1"/>
  <c r="P29" i="1"/>
  <c r="P27" i="1" s="1"/>
  <c r="O29" i="1"/>
  <c r="N29" i="1"/>
  <c r="M29" i="1"/>
  <c r="L29" i="1"/>
  <c r="K29" i="1"/>
  <c r="J29" i="1"/>
  <c r="I29" i="1"/>
  <c r="H29" i="1"/>
  <c r="G29" i="1"/>
  <c r="F29" i="1"/>
  <c r="E29" i="1"/>
  <c r="D29" i="1"/>
  <c r="I27" i="1" l="1"/>
</calcChain>
</file>

<file path=xl/sharedStrings.xml><?xml version="1.0" encoding="utf-8"?>
<sst xmlns="http://schemas.openxmlformats.org/spreadsheetml/2006/main" count="63" uniqueCount="25">
  <si>
    <t>product</t>
  </si>
  <si>
    <t>feedstock</t>
  </si>
  <si>
    <t>fermentation cell mass yield</t>
  </si>
  <si>
    <t>feedstock unit price</t>
  </si>
  <si>
    <t>feedstock capacity</t>
  </si>
  <si>
    <t>operating time</t>
  </si>
  <si>
    <t>natural gas unit price</t>
  </si>
  <si>
    <t>CSL unit price</t>
  </si>
  <si>
    <t>CSL loading</t>
  </si>
  <si>
    <t>electricity unit price</t>
  </si>
  <si>
    <t>inoculum ratio</t>
  </si>
  <si>
    <t>seed train fermentation ratio</t>
  </si>
  <si>
    <t>product storage time</t>
  </si>
  <si>
    <t>boiler efficiency</t>
  </si>
  <si>
    <t>turbogenerator efficiency</t>
  </si>
  <si>
    <t>TAL</t>
  </si>
  <si>
    <t>glucose</t>
  </si>
  <si>
    <t>sugarcane</t>
  </si>
  <si>
    <t>cornstover</t>
  </si>
  <si>
    <t>corn</t>
  </si>
  <si>
    <t>TAL_SA</t>
  </si>
  <si>
    <t>HP</t>
  </si>
  <si>
    <t>HP_neutral</t>
  </si>
  <si>
    <t>HP_hexanol</t>
  </si>
  <si>
    <t>HP_neutral_hexanol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</si>
</sst>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0" fontId="0" fillId="0" borderId="0" xfId="0" applyAlignment="1">
      <alignment horizontal="center"/>
    </xf>
    <xf numFmtId="2" fontId="2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2"/>
  <sheetViews>
    <sheetView tabSelected="1" workbookViewId="0">
      <selection activeCell="G1" sqref="G1:G1048576"/>
    </sheetView>
  </sheetViews>
  <sheetFormatPr defaultRowHeight="14.5" x14ac:dyDescent="0.35"/>
  <cols>
    <col min="7" max="7" width="8.7265625" style="6"/>
  </cols>
  <sheetData>
    <row r="1" spans="1:16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</row>
    <row r="2" spans="1:16" x14ac:dyDescent="0.35">
      <c r="A2" s="1">
        <v>0</v>
      </c>
      <c r="B2" t="s">
        <v>15</v>
      </c>
      <c r="C2" t="s">
        <v>16</v>
      </c>
      <c r="D2" s="2">
        <v>-4.5438901755607023E-3</v>
      </c>
      <c r="E2" s="2">
        <v>-0.1224598178392714</v>
      </c>
      <c r="F2" s="2">
        <v>3.4648554594218367E-2</v>
      </c>
      <c r="G2" s="4">
        <v>-3.2326593306373233E-2</v>
      </c>
      <c r="H2" s="2">
        <v>-2.2230616922467691E-2</v>
      </c>
      <c r="I2" s="2">
        <v>0.18066542666170671</v>
      </c>
      <c r="J2" s="2">
        <v>0.41915649262597049</v>
      </c>
      <c r="K2" s="2">
        <v>-9.0438217752871017E-2</v>
      </c>
      <c r="L2" s="2">
        <v>0.10066744266977069</v>
      </c>
      <c r="M2" s="2">
        <v>-2.8336241344965381E-2</v>
      </c>
      <c r="N2" s="2">
        <v>1.7259621038484149E-2</v>
      </c>
      <c r="O2" s="2">
        <v>3.032287329149317E-2</v>
      </c>
      <c r="P2" s="2">
        <v>3.703502814011256E-3</v>
      </c>
    </row>
    <row r="3" spans="1:16" x14ac:dyDescent="0.35">
      <c r="A3" s="1">
        <v>1</v>
      </c>
      <c r="B3" t="s">
        <v>15</v>
      </c>
      <c r="C3" t="s">
        <v>17</v>
      </c>
      <c r="D3" s="2">
        <v>2.0125520502082008E-3</v>
      </c>
      <c r="E3" s="2">
        <v>-9.0561290245160977E-2</v>
      </c>
      <c r="F3" s="2">
        <v>9.5588638354553418E-2</v>
      </c>
      <c r="G3" s="4">
        <v>-0.1647349309397238</v>
      </c>
      <c r="H3" s="2">
        <v>-1.6914403657614631E-2</v>
      </c>
      <c r="I3" s="2">
        <v>0.18250949803799221</v>
      </c>
      <c r="J3" s="2">
        <v>0.49508156432625727</v>
      </c>
      <c r="K3" s="2">
        <v>-8.4517106068424275E-2</v>
      </c>
      <c r="L3" s="2">
        <v>8.9572006288025155E-2</v>
      </c>
      <c r="M3" s="2">
        <v>-2.605728822915292E-2</v>
      </c>
      <c r="N3" s="2">
        <v>1.4821403285613139E-2</v>
      </c>
      <c r="O3" s="2">
        <v>5.6276289105156418E-2</v>
      </c>
      <c r="P3" s="2">
        <v>8.5089940359761446E-3</v>
      </c>
    </row>
    <row r="4" spans="1:16" x14ac:dyDescent="0.35">
      <c r="A4" s="1">
        <v>2</v>
      </c>
      <c r="B4" t="s">
        <v>15</v>
      </c>
      <c r="C4" t="s">
        <v>18</v>
      </c>
      <c r="D4" s="2">
        <v>-1.112385249540998E-2</v>
      </c>
      <c r="E4" s="2">
        <v>-7.4067272269089074E-2</v>
      </c>
      <c r="F4" s="2">
        <v>6.2599066396265585E-2</v>
      </c>
      <c r="G4" s="4">
        <v>-1.069713078852315E-2</v>
      </c>
      <c r="H4" s="2">
        <v>-3.2792675170700683E-2</v>
      </c>
      <c r="I4" s="2">
        <v>0.19376458305833219</v>
      </c>
      <c r="J4" s="2">
        <v>0.45305931623726498</v>
      </c>
      <c r="K4" s="2">
        <v>-9.838349753399013E-2</v>
      </c>
      <c r="L4" s="2">
        <v>9.4601274405097621E-2</v>
      </c>
      <c r="M4" s="2">
        <v>-3.6800595202380812E-2</v>
      </c>
      <c r="N4" s="2">
        <v>1.006074424297697E-2</v>
      </c>
      <c r="O4" s="2">
        <v>5.8750987003948013E-2</v>
      </c>
      <c r="P4" s="2">
        <v>6.3532094128376524E-3</v>
      </c>
    </row>
    <row r="5" spans="1:16" x14ac:dyDescent="0.35">
      <c r="A5" s="1">
        <v>3</v>
      </c>
      <c r="B5" t="s">
        <v>15</v>
      </c>
      <c r="C5" t="s">
        <v>19</v>
      </c>
      <c r="D5" s="2">
        <v>-5.3618134472537887E-3</v>
      </c>
      <c r="E5" s="2">
        <v>-4.7876447505790017E-2</v>
      </c>
      <c r="F5" s="2">
        <v>3.5643406573626288E-2</v>
      </c>
      <c r="G5" s="4">
        <v>-2.9525590102360409E-2</v>
      </c>
      <c r="H5" s="2">
        <v>-2.977576710306841E-2</v>
      </c>
      <c r="I5" s="2">
        <v>0.1843554894219577</v>
      </c>
      <c r="J5" s="2">
        <v>0.43280208320833291</v>
      </c>
      <c r="K5" s="2">
        <v>-8.9901479605918419E-2</v>
      </c>
      <c r="L5" s="2">
        <v>0.1001556646226585</v>
      </c>
      <c r="M5" s="2">
        <v>-3.3037380149520602E-2</v>
      </c>
      <c r="N5" s="2">
        <v>1.3744950979803921E-2</v>
      </c>
      <c r="O5" s="2">
        <v>3.3974535898143587E-2</v>
      </c>
      <c r="P5" s="2">
        <v>3.0460921843687369E-4</v>
      </c>
    </row>
    <row r="6" spans="1:16" x14ac:dyDescent="0.35">
      <c r="A6" s="1">
        <v>4</v>
      </c>
      <c r="B6" t="s">
        <v>20</v>
      </c>
      <c r="C6" t="s">
        <v>16</v>
      </c>
      <c r="D6" s="2">
        <v>-5.6258145032580132E-3</v>
      </c>
      <c r="E6" s="2">
        <v>-9.6772419089676362E-2</v>
      </c>
      <c r="F6" s="2">
        <v>-1.2940755763023049E-2</v>
      </c>
      <c r="G6" s="4">
        <v>5.1713390853563412E-2</v>
      </c>
      <c r="H6" s="2">
        <v>1.546671786687147E-2</v>
      </c>
      <c r="I6" s="2">
        <v>0.27820277681110722</v>
      </c>
      <c r="J6" s="2">
        <v>0.33949124596498392</v>
      </c>
      <c r="K6" s="2">
        <v>2.7508910035640142E-3</v>
      </c>
      <c r="L6" s="2">
        <v>-5.1907215628862517E-2</v>
      </c>
      <c r="M6" s="2">
        <v>-2.3962079848319391E-2</v>
      </c>
      <c r="N6" s="2">
        <v>3.1610814443257772E-2</v>
      </c>
      <c r="O6" s="2">
        <v>-7.0222360889443556E-3</v>
      </c>
      <c r="P6" s="2">
        <v>-1.331986127944512E-2</v>
      </c>
    </row>
    <row r="7" spans="1:16" x14ac:dyDescent="0.35">
      <c r="A7" s="1">
        <v>5</v>
      </c>
      <c r="B7" t="s">
        <v>20</v>
      </c>
      <c r="C7" t="s">
        <v>17</v>
      </c>
      <c r="D7" s="2">
        <v>-2.0135216540866158E-2</v>
      </c>
      <c r="E7" s="2">
        <v>-6.1171252685010738E-2</v>
      </c>
      <c r="F7" s="2">
        <v>4.4767955071820277E-2</v>
      </c>
      <c r="G7" s="4">
        <v>-0.11844287377149509</v>
      </c>
      <c r="H7" s="2">
        <v>1.6905859623438491E-2</v>
      </c>
      <c r="I7" s="2">
        <v>0.25218427273709088</v>
      </c>
      <c r="J7" s="2">
        <v>0.41316194064776263</v>
      </c>
      <c r="K7" s="2">
        <v>6.7056268225072898E-3</v>
      </c>
      <c r="L7" s="2">
        <v>-6.8737042948171789E-2</v>
      </c>
      <c r="M7" s="2">
        <v>-2.1507062028248109E-2</v>
      </c>
      <c r="N7" s="2">
        <v>3.5566606266425063E-2</v>
      </c>
      <c r="O7" s="2">
        <v>1.7547910191640769E-2</v>
      </c>
      <c r="P7" s="2">
        <v>3.1200124800499201E-3</v>
      </c>
    </row>
    <row r="8" spans="1:16" x14ac:dyDescent="0.35">
      <c r="A8" s="1">
        <v>6</v>
      </c>
      <c r="B8" t="s">
        <v>20</v>
      </c>
      <c r="C8" t="s">
        <v>18</v>
      </c>
      <c r="D8" s="2">
        <v>-6.5847623390493564E-3</v>
      </c>
      <c r="E8" s="2">
        <v>-4.6428953715814861E-2</v>
      </c>
      <c r="F8" s="2">
        <v>4.6510266041064167E-3</v>
      </c>
      <c r="G8" s="4">
        <v>6.7438061752247008E-2</v>
      </c>
      <c r="H8" s="2">
        <v>1.990779163116653E-2</v>
      </c>
      <c r="I8" s="2">
        <v>0.27966630266521059</v>
      </c>
      <c r="J8" s="2">
        <v>0.36368468673874688</v>
      </c>
      <c r="K8" s="2">
        <v>7.7952311809247237E-3</v>
      </c>
      <c r="L8" s="2">
        <v>-5.0317833271333087E-2</v>
      </c>
      <c r="M8" s="2">
        <v>-2.8933267733070929E-2</v>
      </c>
      <c r="N8" s="2">
        <v>3.282867531470126E-2</v>
      </c>
      <c r="O8" s="2">
        <v>2.4304801219204881E-2</v>
      </c>
      <c r="P8" s="2">
        <v>-5.8718634874539502E-3</v>
      </c>
    </row>
    <row r="9" spans="1:16" x14ac:dyDescent="0.35">
      <c r="A9" s="1">
        <v>7</v>
      </c>
      <c r="B9" t="s">
        <v>20</v>
      </c>
      <c r="C9" t="s">
        <v>19</v>
      </c>
      <c r="D9" s="2">
        <v>-1.249464197856791E-2</v>
      </c>
      <c r="E9" s="2">
        <v>-2.2001080004320019E-2</v>
      </c>
      <c r="F9" s="2">
        <v>-7.5160620642482573E-3</v>
      </c>
      <c r="G9" s="4">
        <v>5.5207036828147323E-2</v>
      </c>
      <c r="H9" s="2">
        <v>2.109253237012948E-2</v>
      </c>
      <c r="I9" s="2">
        <v>0.2764637298549194</v>
      </c>
      <c r="J9" s="2">
        <v>0.34962293449173798</v>
      </c>
      <c r="K9" s="2">
        <v>8.1005124020496078E-3</v>
      </c>
      <c r="L9" s="2">
        <v>-4.788575954303817E-2</v>
      </c>
      <c r="M9" s="2">
        <v>-3.8463897855591421E-2</v>
      </c>
      <c r="N9" s="2">
        <v>3.4227016908067627E-2</v>
      </c>
      <c r="O9" s="2">
        <v>-9.4455737822951285E-3</v>
      </c>
      <c r="P9" s="2">
        <v>-1.679161916647667E-2</v>
      </c>
    </row>
    <row r="10" spans="1:16" x14ac:dyDescent="0.35">
      <c r="A10" s="1">
        <v>8</v>
      </c>
      <c r="B10" t="s">
        <v>21</v>
      </c>
      <c r="C10" t="s">
        <v>16</v>
      </c>
      <c r="D10" s="2">
        <v>-4.783065532262129E-2</v>
      </c>
      <c r="E10" s="2">
        <v>3.1642206568826277E-2</v>
      </c>
      <c r="F10" s="2">
        <v>-3.0332761331045319E-2</v>
      </c>
      <c r="G10" s="4">
        <v>-0.21902391609566441</v>
      </c>
      <c r="H10" s="2">
        <v>0.60799846399385593</v>
      </c>
      <c r="I10" s="2">
        <v>0.203564014256057</v>
      </c>
      <c r="J10" s="2">
        <v>0.19448698594794381</v>
      </c>
      <c r="K10" s="2">
        <v>2.322930891723567E-2</v>
      </c>
      <c r="L10" s="2">
        <v>1.6930051720206878E-2</v>
      </c>
      <c r="M10" s="2">
        <v>-8.3918735674942697E-3</v>
      </c>
      <c r="N10" s="2">
        <v>-1.8027912111648449E-3</v>
      </c>
      <c r="O10" s="2">
        <v>-0.40463509054036217</v>
      </c>
      <c r="P10" s="2">
        <v>2.207912831651327E-2</v>
      </c>
    </row>
    <row r="11" spans="1:16" x14ac:dyDescent="0.35">
      <c r="A11" s="1">
        <v>9</v>
      </c>
      <c r="B11" t="s">
        <v>21</v>
      </c>
      <c r="C11" t="s">
        <v>17</v>
      </c>
      <c r="D11" s="2">
        <v>1.326082104328417E-2</v>
      </c>
      <c r="E11" s="2">
        <v>1.8135624542498171E-2</v>
      </c>
      <c r="F11" s="2">
        <v>3.8975675902703608E-2</v>
      </c>
      <c r="G11" s="4">
        <v>-0.73933582134328535</v>
      </c>
      <c r="H11" s="2">
        <v>0.34202498409993642</v>
      </c>
      <c r="I11" s="2">
        <v>0.16312759651038611</v>
      </c>
      <c r="J11" s="2">
        <v>0.12714886059544239</v>
      </c>
      <c r="K11" s="2">
        <v>4.9625190500762001E-2</v>
      </c>
      <c r="L11" s="2">
        <v>8.2630506522026081E-2</v>
      </c>
      <c r="M11" s="2">
        <v>-2.0794643178572709E-3</v>
      </c>
      <c r="N11" s="2">
        <v>-9.900231600926403E-3</v>
      </c>
      <c r="O11" s="2">
        <v>-0.15913436453745819</v>
      </c>
      <c r="P11" s="2">
        <v>5.8847275389101547E-2</v>
      </c>
    </row>
    <row r="12" spans="1:16" x14ac:dyDescent="0.35">
      <c r="A12" s="1">
        <v>10</v>
      </c>
      <c r="B12" t="s">
        <v>21</v>
      </c>
      <c r="C12" t="s">
        <v>18</v>
      </c>
      <c r="D12" s="2">
        <v>-1.6738338953355809E-2</v>
      </c>
      <c r="E12" s="2">
        <v>1.8184872739490959E-2</v>
      </c>
      <c r="F12" s="2">
        <v>5.3614390457561827E-2</v>
      </c>
      <c r="G12" s="4">
        <v>-0.19690638762555049</v>
      </c>
      <c r="H12" s="2">
        <v>0.636064080256321</v>
      </c>
      <c r="I12" s="2">
        <v>0.18730241320965291</v>
      </c>
      <c r="J12" s="2">
        <v>0.16749810999244</v>
      </c>
      <c r="K12" s="2">
        <v>2.3091932367729471E-2</v>
      </c>
      <c r="L12" s="2">
        <v>1.228420913683655E-3</v>
      </c>
      <c r="M12" s="2">
        <v>-1.5590270361081441E-2</v>
      </c>
      <c r="N12" s="2">
        <v>-3.1018684074736302E-3</v>
      </c>
      <c r="O12" s="2">
        <v>-0.41690182760731043</v>
      </c>
      <c r="P12" s="2">
        <v>2.0575186300745198E-2</v>
      </c>
    </row>
    <row r="13" spans="1:16" x14ac:dyDescent="0.35">
      <c r="A13" s="1">
        <v>11</v>
      </c>
      <c r="B13" t="s">
        <v>21</v>
      </c>
      <c r="C13" t="s">
        <v>19</v>
      </c>
      <c r="D13" s="2">
        <v>-3.121951687806751E-2</v>
      </c>
      <c r="E13" s="2">
        <v>2.0923763695054779E-2</v>
      </c>
      <c r="F13" s="2">
        <v>5.3620918483673938E-2</v>
      </c>
      <c r="G13" s="4">
        <v>-0.20107386029544119</v>
      </c>
      <c r="H13" s="2">
        <v>0.62779182316729265</v>
      </c>
      <c r="I13" s="2">
        <v>0.1910383641534566</v>
      </c>
      <c r="J13" s="2">
        <v>0.17026647306589229</v>
      </c>
      <c r="K13" s="2">
        <v>3.4088392353569412E-2</v>
      </c>
      <c r="L13" s="2">
        <v>4.6150264601058401E-3</v>
      </c>
      <c r="M13" s="2">
        <v>-1.4946587786351139E-2</v>
      </c>
      <c r="N13" s="2">
        <v>-4.849555398221593E-3</v>
      </c>
      <c r="O13" s="2">
        <v>-0.41636710546842193</v>
      </c>
      <c r="P13" s="2">
        <v>4.1367813471253893E-2</v>
      </c>
    </row>
    <row r="14" spans="1:16" x14ac:dyDescent="0.35">
      <c r="A14" s="1">
        <v>12</v>
      </c>
      <c r="B14" t="s">
        <v>22</v>
      </c>
      <c r="C14" t="s">
        <v>16</v>
      </c>
      <c r="D14" s="2">
        <v>0.1019065476636916</v>
      </c>
      <c r="E14" s="2">
        <v>3.9510987774694369E-2</v>
      </c>
      <c r="F14" s="2">
        <v>9.8939473486837168E-2</v>
      </c>
      <c r="G14" s="4">
        <v>-0.25571139278481958</v>
      </c>
      <c r="H14" s="2">
        <v>0.66816770419260485</v>
      </c>
      <c r="I14" s="2">
        <v>0.26307957698942469</v>
      </c>
      <c r="J14" s="2">
        <v>0.30697967449186231</v>
      </c>
      <c r="K14" s="2">
        <v>-2.3690092252306311E-2</v>
      </c>
      <c r="L14" s="2">
        <v>0.1478076951923798</v>
      </c>
      <c r="M14" s="2">
        <v>8.1630540763519083E-2</v>
      </c>
      <c r="N14" s="2">
        <v>7.9779494487362185E-2</v>
      </c>
      <c r="O14" s="2">
        <v>-0.34427960699017468</v>
      </c>
      <c r="P14" s="2">
        <v>7.1526288157203924E-2</v>
      </c>
    </row>
    <row r="15" spans="1:16" x14ac:dyDescent="0.35">
      <c r="A15" s="1">
        <v>13</v>
      </c>
      <c r="B15" t="s">
        <v>22</v>
      </c>
      <c r="C15" t="s">
        <v>17</v>
      </c>
      <c r="D15" s="2">
        <v>0.15753393834845869</v>
      </c>
      <c r="E15" s="2">
        <v>2.6741168529213231E-2</v>
      </c>
      <c r="F15" s="2">
        <v>0.15328733218330459</v>
      </c>
      <c r="G15" s="4">
        <v>-0.71491487287182176</v>
      </c>
      <c r="H15" s="2">
        <v>0.48749118727968199</v>
      </c>
      <c r="I15" s="2">
        <v>0.18030150753768839</v>
      </c>
      <c r="J15" s="2">
        <v>0.2151443786094652</v>
      </c>
      <c r="K15" s="2">
        <v>1.870696767419185E-2</v>
      </c>
      <c r="L15" s="2">
        <v>6.5928148203705086E-2</v>
      </c>
      <c r="M15" s="2">
        <v>6.4900622515562889E-2</v>
      </c>
      <c r="N15" s="2">
        <v>0.1004530113252831</v>
      </c>
      <c r="O15" s="2">
        <v>-0.18782119552988821</v>
      </c>
      <c r="P15" s="2">
        <v>2.0873021825545641E-2</v>
      </c>
    </row>
    <row r="16" spans="1:16" x14ac:dyDescent="0.35">
      <c r="A16" s="1">
        <v>14</v>
      </c>
      <c r="B16" t="s">
        <v>22</v>
      </c>
      <c r="C16" t="s">
        <v>18</v>
      </c>
      <c r="D16" s="2">
        <v>0.14057451436285909</v>
      </c>
      <c r="E16" s="2">
        <v>1.5001875046876169E-2</v>
      </c>
      <c r="F16" s="2">
        <v>0.16276456911422779</v>
      </c>
      <c r="G16" s="4">
        <v>-0.2420295507387685</v>
      </c>
      <c r="H16" s="2">
        <v>0.6677701942548564</v>
      </c>
      <c r="I16" s="2">
        <v>0.26151203780094501</v>
      </c>
      <c r="J16" s="2">
        <v>0.29058876471911799</v>
      </c>
      <c r="K16" s="2">
        <v>-2.9370734268356711E-2</v>
      </c>
      <c r="L16" s="2">
        <v>0.14809870246756171</v>
      </c>
      <c r="M16" s="2">
        <v>8.9964749118727969E-2</v>
      </c>
      <c r="N16" s="2">
        <v>8.7119177979449486E-2</v>
      </c>
      <c r="O16" s="2">
        <v>-0.39585989649741238</v>
      </c>
      <c r="P16" s="2">
        <v>4.1351533788344712E-2</v>
      </c>
    </row>
    <row r="17" spans="1:16" x14ac:dyDescent="0.35">
      <c r="A17" s="1">
        <v>15</v>
      </c>
      <c r="B17" t="s">
        <v>22</v>
      </c>
      <c r="C17" t="s">
        <v>19</v>
      </c>
      <c r="D17" s="2">
        <v>0.14063751593789839</v>
      </c>
      <c r="E17" s="2">
        <v>2.1735543388584719E-2</v>
      </c>
      <c r="F17" s="2">
        <v>0.15551188779719491</v>
      </c>
      <c r="G17" s="4">
        <v>-0.24851871296782421</v>
      </c>
      <c r="H17" s="2">
        <v>0.66976824420610515</v>
      </c>
      <c r="I17" s="2">
        <v>0.26898072451811289</v>
      </c>
      <c r="J17" s="2">
        <v>0.2999594989874747</v>
      </c>
      <c r="K17" s="2">
        <v>-2.3295582389559741E-2</v>
      </c>
      <c r="L17" s="2">
        <v>0.14426160654016351</v>
      </c>
      <c r="M17" s="2">
        <v>8.5940148503712593E-2</v>
      </c>
      <c r="N17" s="2">
        <v>9.0533263331583291E-2</v>
      </c>
      <c r="O17" s="2">
        <v>-0.36309007725193132</v>
      </c>
      <c r="P17" s="2">
        <v>7.0755268881722039E-2</v>
      </c>
    </row>
    <row r="18" spans="1:16" x14ac:dyDescent="0.35">
      <c r="A18" s="1">
        <v>16</v>
      </c>
      <c r="B18" t="s">
        <v>23</v>
      </c>
      <c r="C18" t="s">
        <v>16</v>
      </c>
      <c r="D18" s="2">
        <v>-8.3950991803967215E-2</v>
      </c>
      <c r="E18" s="2">
        <v>1.221297685190741E-2</v>
      </c>
      <c r="F18" s="2">
        <v>-1.6736034944139781E-2</v>
      </c>
      <c r="G18" s="4">
        <v>-0.18082037128148509</v>
      </c>
      <c r="H18" s="2">
        <v>0.59826680906723628</v>
      </c>
      <c r="I18" s="2">
        <v>0.21564009456037819</v>
      </c>
      <c r="J18" s="2">
        <v>0.22109378037512151</v>
      </c>
      <c r="K18" s="2">
        <v>2.1197268789075161E-2</v>
      </c>
      <c r="L18" s="2">
        <v>-2.3938655754623022E-3</v>
      </c>
      <c r="M18" s="2">
        <v>-2.4124128496513981E-2</v>
      </c>
      <c r="N18" s="2">
        <v>-1.7522758091032369E-2</v>
      </c>
      <c r="O18" s="2">
        <v>-0.41267627470509882</v>
      </c>
      <c r="P18" s="2">
        <v>2.357107028428114E-2</v>
      </c>
    </row>
    <row r="19" spans="1:16" x14ac:dyDescent="0.35">
      <c r="A19" s="1">
        <v>17</v>
      </c>
      <c r="B19" t="s">
        <v>23</v>
      </c>
      <c r="C19" t="s">
        <v>17</v>
      </c>
      <c r="D19" s="2">
        <v>1.6966147864591458E-2</v>
      </c>
      <c r="E19" s="2">
        <v>1.512188448753795E-2</v>
      </c>
      <c r="F19" s="2">
        <v>9.8189096756387026E-2</v>
      </c>
      <c r="G19" s="4">
        <v>-0.71841493765975062</v>
      </c>
      <c r="H19" s="2">
        <v>0.35040888963555861</v>
      </c>
      <c r="I19" s="2">
        <v>0.17372104688418749</v>
      </c>
      <c r="J19" s="2">
        <v>0.1327243708974836</v>
      </c>
      <c r="K19" s="2">
        <v>4.1704006816027261E-2</v>
      </c>
      <c r="L19" s="2">
        <v>7.4437257749030997E-2</v>
      </c>
      <c r="M19" s="2">
        <v>-2.1597206388825549E-3</v>
      </c>
      <c r="N19" s="2">
        <v>-8.3776655106620433E-3</v>
      </c>
      <c r="O19" s="2">
        <v>-0.1626706346825387</v>
      </c>
      <c r="P19" s="2">
        <v>5.5057948231792928E-2</v>
      </c>
    </row>
    <row r="20" spans="1:16" x14ac:dyDescent="0.35">
      <c r="A20" s="1">
        <v>18</v>
      </c>
      <c r="B20" t="s">
        <v>23</v>
      </c>
      <c r="C20" t="s">
        <v>18</v>
      </c>
      <c r="D20" s="2">
        <v>-6.0606060606060606E-3</v>
      </c>
      <c r="E20" s="2">
        <v>0.2121212121212121</v>
      </c>
      <c r="F20" s="2">
        <v>-0.45454545454545447</v>
      </c>
      <c r="G20" s="4">
        <v>-4.2424242424242427E-2</v>
      </c>
      <c r="H20" s="2">
        <v>0.83030303030303032</v>
      </c>
      <c r="I20" s="2">
        <v>-0.26060606060606062</v>
      </c>
      <c r="J20" s="2">
        <v>0.17575757575757581</v>
      </c>
      <c r="K20" s="2">
        <v>-0.39393939393939392</v>
      </c>
      <c r="L20" s="2">
        <v>7.8787878787878782E-2</v>
      </c>
      <c r="M20" s="2">
        <v>-0.29696969696969699</v>
      </c>
      <c r="N20" s="2">
        <v>0.75757575757575757</v>
      </c>
      <c r="O20" s="2">
        <v>-0.80606060606060603</v>
      </c>
      <c r="P20" s="2">
        <v>0.1151515151515152</v>
      </c>
    </row>
    <row r="21" spans="1:16" x14ac:dyDescent="0.35">
      <c r="A21" s="1">
        <v>19</v>
      </c>
      <c r="B21" t="s">
        <v>23</v>
      </c>
      <c r="C21" t="s">
        <v>19</v>
      </c>
      <c r="D21" s="2">
        <v>-4.8436033744134977E-3</v>
      </c>
      <c r="E21" s="2">
        <v>3.9524414097656391E-2</v>
      </c>
      <c r="F21" s="2">
        <v>3.3830055320221278E-2</v>
      </c>
      <c r="G21" s="4">
        <v>-4.1690566762267053E-2</v>
      </c>
      <c r="H21" s="2">
        <v>0.80295421981687931</v>
      </c>
      <c r="I21" s="2">
        <v>5.818573674294697E-2</v>
      </c>
      <c r="J21" s="2">
        <v>7.1003996015984061E-2</v>
      </c>
      <c r="K21" s="2">
        <v>4.224852099408398E-2</v>
      </c>
      <c r="L21" s="2">
        <v>-2.034574538298153E-2</v>
      </c>
      <c r="M21" s="2">
        <v>-3.2437665750663001E-2</v>
      </c>
      <c r="N21" s="2">
        <v>1.401605606422426E-2</v>
      </c>
      <c r="O21" s="2">
        <v>-0.53647654590618365</v>
      </c>
      <c r="P21" s="2">
        <v>4.5293557174228699E-2</v>
      </c>
    </row>
    <row r="22" spans="1:16" x14ac:dyDescent="0.35">
      <c r="A22" s="1">
        <v>20</v>
      </c>
      <c r="B22" t="s">
        <v>24</v>
      </c>
      <c r="C22" t="s">
        <v>16</v>
      </c>
      <c r="D22" s="2">
        <v>5.1002775069376727E-2</v>
      </c>
      <c r="E22" s="2">
        <v>6.7200180004500107E-2</v>
      </c>
      <c r="F22" s="2">
        <v>0.11477986949673739</v>
      </c>
      <c r="G22" s="4">
        <v>-0.2104702617565439</v>
      </c>
      <c r="H22" s="2">
        <v>0.63076726918172954</v>
      </c>
      <c r="I22" s="2">
        <v>0.29989349733743342</v>
      </c>
      <c r="J22" s="2">
        <v>0.33791944798619972</v>
      </c>
      <c r="K22" s="2">
        <v>-2.8037200930023251E-2</v>
      </c>
      <c r="L22" s="2">
        <v>0.16757218930473261</v>
      </c>
      <c r="M22" s="2">
        <v>6.5337133428335706E-2</v>
      </c>
      <c r="N22" s="2">
        <v>6.9805745143628598E-2</v>
      </c>
      <c r="O22" s="2">
        <v>-0.35135078376959422</v>
      </c>
      <c r="P22" s="2">
        <v>7.4925373134328357E-2</v>
      </c>
    </row>
    <row r="23" spans="1:16" x14ac:dyDescent="0.35">
      <c r="A23" s="1">
        <v>21</v>
      </c>
      <c r="B23" t="s">
        <v>24</v>
      </c>
      <c r="C23" t="s">
        <v>17</v>
      </c>
      <c r="D23" s="2">
        <v>0.17149778744468611</v>
      </c>
      <c r="E23" s="2">
        <v>-5.2559813995349883E-2</v>
      </c>
      <c r="F23" s="2">
        <v>0.1057031425785645</v>
      </c>
      <c r="G23" s="4">
        <v>-0.41320933023325579</v>
      </c>
      <c r="H23" s="2">
        <v>0.75313582839570992</v>
      </c>
      <c r="I23" s="2">
        <v>0.14677416935423379</v>
      </c>
      <c r="J23" s="2">
        <v>0.15805445136128399</v>
      </c>
      <c r="K23" s="2">
        <v>-1.802595064876622E-2</v>
      </c>
      <c r="L23" s="2">
        <v>0.10934823370584271</v>
      </c>
      <c r="M23" s="2">
        <v>0.103361584039601</v>
      </c>
      <c r="N23" s="2">
        <v>0.1145758643966099</v>
      </c>
      <c r="O23" s="2">
        <v>-0.40792019800495011</v>
      </c>
      <c r="P23" s="2">
        <v>4.047701192529813E-2</v>
      </c>
    </row>
    <row r="24" spans="1:16" x14ac:dyDescent="0.35">
      <c r="A24" s="1">
        <v>22</v>
      </c>
      <c r="B24" t="s">
        <v>24</v>
      </c>
      <c r="C24" t="s">
        <v>18</v>
      </c>
      <c r="D24" s="2">
        <v>-0.2436315907897697</v>
      </c>
      <c r="E24" s="2">
        <v>-3.150078751968799E-3</v>
      </c>
      <c r="F24" s="2">
        <v>0.1188299707492687</v>
      </c>
      <c r="G24" s="4">
        <v>-8.2806570164254106E-2</v>
      </c>
      <c r="H24" s="2">
        <v>0.67407785194629866</v>
      </c>
      <c r="I24" s="2">
        <v>8.9789244731118281E-2</v>
      </c>
      <c r="J24" s="2">
        <v>0.1005640141003525</v>
      </c>
      <c r="K24" s="2">
        <v>-7.2043801095027379E-2</v>
      </c>
      <c r="L24" s="2">
        <v>0.17428035700892519</v>
      </c>
      <c r="M24" s="2">
        <v>0.14914122853071329</v>
      </c>
      <c r="N24" s="2">
        <v>1.351083777094427E-2</v>
      </c>
      <c r="O24" s="2">
        <v>-0.39988149703742593</v>
      </c>
      <c r="P24" s="2">
        <v>4.5046126153153829E-2</v>
      </c>
    </row>
    <row r="25" spans="1:16" x14ac:dyDescent="0.35">
      <c r="A25" s="1">
        <v>23</v>
      </c>
      <c r="B25" t="s">
        <v>24</v>
      </c>
      <c r="C25" t="s">
        <v>19</v>
      </c>
      <c r="D25" s="2">
        <v>-4.6823670591764788E-2</v>
      </c>
      <c r="E25" s="2">
        <v>-3.4677866946673658E-2</v>
      </c>
      <c r="F25" s="2">
        <v>0.1024585614640366</v>
      </c>
      <c r="G25" s="4">
        <v>-0.1163399084977124</v>
      </c>
      <c r="H25" s="2">
        <v>0.2110372759318983</v>
      </c>
      <c r="I25" s="2">
        <v>3.8409960249006232E-2</v>
      </c>
      <c r="J25" s="2">
        <v>0.20515262881572041</v>
      </c>
      <c r="K25" s="2">
        <v>-2.885922148053701E-2</v>
      </c>
      <c r="L25" s="2">
        <v>0.1145683642091052</v>
      </c>
      <c r="M25" s="2">
        <v>-8.0237005925148132E-3</v>
      </c>
      <c r="N25" s="2">
        <v>2.516462911572789E-2</v>
      </c>
      <c r="O25" s="2">
        <v>-5.5109877746943682E-2</v>
      </c>
      <c r="P25" s="2">
        <v>2.835970899272482E-2</v>
      </c>
    </row>
    <row r="26" spans="1:16" x14ac:dyDescent="0.35">
      <c r="D26" s="2"/>
      <c r="E26" s="2"/>
      <c r="F26" s="2"/>
      <c r="G26" s="4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35">
      <c r="D27" s="3">
        <f>SUM(D29:D52)</f>
        <v>6</v>
      </c>
      <c r="E27" s="3">
        <f t="shared" ref="E27:P27" si="0">SUM(E29:E52)</f>
        <v>2</v>
      </c>
      <c r="F27" s="3">
        <f t="shared" si="0"/>
        <v>8</v>
      </c>
      <c r="G27" s="5">
        <f t="shared" si="0"/>
        <v>15</v>
      </c>
      <c r="H27" s="3">
        <f t="shared" si="0"/>
        <v>16</v>
      </c>
      <c r="I27" s="3">
        <f t="shared" si="0"/>
        <v>21</v>
      </c>
      <c r="J27" s="3">
        <f t="shared" si="0"/>
        <v>23</v>
      </c>
      <c r="K27" s="3">
        <f t="shared" si="0"/>
        <v>1</v>
      </c>
      <c r="L27" s="3">
        <f t="shared" si="0"/>
        <v>9</v>
      </c>
      <c r="M27" s="3">
        <f t="shared" si="0"/>
        <v>3</v>
      </c>
      <c r="N27" s="3">
        <f t="shared" si="0"/>
        <v>3</v>
      </c>
      <c r="O27" s="3">
        <f t="shared" si="0"/>
        <v>15</v>
      </c>
      <c r="P27" s="3">
        <f t="shared" si="0"/>
        <v>1</v>
      </c>
    </row>
    <row r="29" spans="1:16" x14ac:dyDescent="0.35">
      <c r="D29" s="3">
        <f>IF(ABS(D2)&gt;0.1, 1, 0)</f>
        <v>0</v>
      </c>
      <c r="E29" s="3">
        <f t="shared" ref="E29:P29" si="1">IF(ABS(E2)&gt;0.1, 1, 0)</f>
        <v>1</v>
      </c>
      <c r="F29" s="3">
        <f t="shared" si="1"/>
        <v>0</v>
      </c>
      <c r="G29" s="5">
        <f t="shared" si="1"/>
        <v>0</v>
      </c>
      <c r="H29" s="3">
        <f t="shared" si="1"/>
        <v>0</v>
      </c>
      <c r="I29" s="3">
        <f t="shared" si="1"/>
        <v>1</v>
      </c>
      <c r="J29" s="3">
        <f t="shared" si="1"/>
        <v>1</v>
      </c>
      <c r="K29" s="3">
        <f t="shared" si="1"/>
        <v>0</v>
      </c>
      <c r="L29" s="3">
        <f t="shared" si="1"/>
        <v>1</v>
      </c>
      <c r="M29" s="3">
        <f t="shared" si="1"/>
        <v>0</v>
      </c>
      <c r="N29" s="3">
        <f t="shared" si="1"/>
        <v>0</v>
      </c>
      <c r="O29" s="3">
        <f t="shared" si="1"/>
        <v>0</v>
      </c>
      <c r="P29" s="3">
        <f t="shared" si="1"/>
        <v>0</v>
      </c>
    </row>
    <row r="30" spans="1:16" x14ac:dyDescent="0.35">
      <c r="D30" s="3">
        <f t="shared" ref="D30:P45" si="2">IF(ABS(D3)&gt;0.1, 1, 0)</f>
        <v>0</v>
      </c>
      <c r="E30" s="3">
        <f t="shared" si="2"/>
        <v>0</v>
      </c>
      <c r="F30" s="3">
        <f t="shared" si="2"/>
        <v>0</v>
      </c>
      <c r="G30" s="5">
        <f t="shared" si="2"/>
        <v>1</v>
      </c>
      <c r="H30" s="3">
        <f t="shared" si="2"/>
        <v>0</v>
      </c>
      <c r="I30" s="3">
        <f>IF(ABS(I3)&gt;0.1, 1, 0)</f>
        <v>1</v>
      </c>
      <c r="J30" s="3">
        <f t="shared" si="2"/>
        <v>1</v>
      </c>
      <c r="K30" s="3">
        <f t="shared" si="2"/>
        <v>0</v>
      </c>
      <c r="L30" s="3">
        <f t="shared" si="2"/>
        <v>0</v>
      </c>
      <c r="M30" s="3">
        <f t="shared" si="2"/>
        <v>0</v>
      </c>
      <c r="N30" s="3">
        <f t="shared" si="2"/>
        <v>0</v>
      </c>
      <c r="O30" s="3">
        <f t="shared" si="2"/>
        <v>0</v>
      </c>
      <c r="P30" s="3">
        <f t="shared" si="2"/>
        <v>0</v>
      </c>
    </row>
    <row r="31" spans="1:16" x14ac:dyDescent="0.35">
      <c r="D31" s="3">
        <f t="shared" si="2"/>
        <v>0</v>
      </c>
      <c r="E31" s="3">
        <f t="shared" si="2"/>
        <v>0</v>
      </c>
      <c r="F31" s="3">
        <f t="shared" si="2"/>
        <v>0</v>
      </c>
      <c r="G31" s="5">
        <f t="shared" si="2"/>
        <v>0</v>
      </c>
      <c r="H31" s="3">
        <f t="shared" si="2"/>
        <v>0</v>
      </c>
      <c r="I31" s="3">
        <f t="shared" si="2"/>
        <v>1</v>
      </c>
      <c r="J31" s="3">
        <f t="shared" si="2"/>
        <v>1</v>
      </c>
      <c r="K31" s="3">
        <f t="shared" si="2"/>
        <v>0</v>
      </c>
      <c r="L31" s="3">
        <f t="shared" si="2"/>
        <v>0</v>
      </c>
      <c r="M31" s="3">
        <f t="shared" si="2"/>
        <v>0</v>
      </c>
      <c r="N31" s="3">
        <f t="shared" si="2"/>
        <v>0</v>
      </c>
      <c r="O31" s="3">
        <f t="shared" si="2"/>
        <v>0</v>
      </c>
      <c r="P31" s="3">
        <f t="shared" si="2"/>
        <v>0</v>
      </c>
    </row>
    <row r="32" spans="1:16" x14ac:dyDescent="0.35">
      <c r="D32" s="3">
        <f t="shared" si="2"/>
        <v>0</v>
      </c>
      <c r="E32" s="3">
        <f t="shared" si="2"/>
        <v>0</v>
      </c>
      <c r="F32" s="3">
        <f t="shared" si="2"/>
        <v>0</v>
      </c>
      <c r="G32" s="5">
        <f t="shared" si="2"/>
        <v>0</v>
      </c>
      <c r="H32" s="3">
        <f t="shared" si="2"/>
        <v>0</v>
      </c>
      <c r="I32" s="3">
        <f t="shared" si="2"/>
        <v>1</v>
      </c>
      <c r="J32" s="3">
        <f t="shared" si="2"/>
        <v>1</v>
      </c>
      <c r="K32" s="3">
        <f t="shared" si="2"/>
        <v>0</v>
      </c>
      <c r="L32" s="3">
        <f t="shared" si="2"/>
        <v>1</v>
      </c>
      <c r="M32" s="3">
        <f t="shared" si="2"/>
        <v>0</v>
      </c>
      <c r="N32" s="3">
        <f t="shared" si="2"/>
        <v>0</v>
      </c>
      <c r="O32" s="3">
        <f t="shared" si="2"/>
        <v>0</v>
      </c>
      <c r="P32" s="3">
        <f t="shared" si="2"/>
        <v>0</v>
      </c>
    </row>
    <row r="33" spans="4:16" x14ac:dyDescent="0.35">
      <c r="D33" s="3">
        <f t="shared" si="2"/>
        <v>0</v>
      </c>
      <c r="E33" s="3">
        <f t="shared" si="2"/>
        <v>0</v>
      </c>
      <c r="F33" s="3">
        <f t="shared" si="2"/>
        <v>0</v>
      </c>
      <c r="G33" s="5">
        <f t="shared" si="2"/>
        <v>0</v>
      </c>
      <c r="H33" s="3">
        <f t="shared" si="2"/>
        <v>0</v>
      </c>
      <c r="I33" s="3">
        <f t="shared" si="2"/>
        <v>1</v>
      </c>
      <c r="J33" s="3">
        <f t="shared" si="2"/>
        <v>1</v>
      </c>
      <c r="K33" s="3">
        <f t="shared" si="2"/>
        <v>0</v>
      </c>
      <c r="L33" s="3">
        <f t="shared" si="2"/>
        <v>0</v>
      </c>
      <c r="M33" s="3">
        <f t="shared" si="2"/>
        <v>0</v>
      </c>
      <c r="N33" s="3">
        <f t="shared" si="2"/>
        <v>0</v>
      </c>
      <c r="O33" s="3">
        <f t="shared" si="2"/>
        <v>0</v>
      </c>
      <c r="P33" s="3">
        <f t="shared" si="2"/>
        <v>0</v>
      </c>
    </row>
    <row r="34" spans="4:16" x14ac:dyDescent="0.35">
      <c r="D34" s="3">
        <f>IF(ABS(D7)&gt;0.1, 1, 0)</f>
        <v>0</v>
      </c>
      <c r="E34" s="3">
        <f t="shared" si="2"/>
        <v>0</v>
      </c>
      <c r="F34" s="3">
        <f t="shared" si="2"/>
        <v>0</v>
      </c>
      <c r="G34" s="5">
        <f t="shared" si="2"/>
        <v>1</v>
      </c>
      <c r="H34" s="3">
        <f t="shared" si="2"/>
        <v>0</v>
      </c>
      <c r="I34" s="3">
        <f t="shared" si="2"/>
        <v>1</v>
      </c>
      <c r="J34" s="3">
        <f t="shared" si="2"/>
        <v>1</v>
      </c>
      <c r="K34" s="3">
        <f t="shared" si="2"/>
        <v>0</v>
      </c>
      <c r="L34" s="3">
        <f t="shared" si="2"/>
        <v>0</v>
      </c>
      <c r="M34" s="3">
        <f t="shared" si="2"/>
        <v>0</v>
      </c>
      <c r="N34" s="3">
        <f t="shared" si="2"/>
        <v>0</v>
      </c>
      <c r="O34" s="3">
        <f t="shared" si="2"/>
        <v>0</v>
      </c>
      <c r="P34" s="3">
        <f t="shared" si="2"/>
        <v>0</v>
      </c>
    </row>
    <row r="35" spans="4:16" x14ac:dyDescent="0.35">
      <c r="D35" s="3">
        <f t="shared" si="2"/>
        <v>0</v>
      </c>
      <c r="E35" s="3">
        <f t="shared" si="2"/>
        <v>0</v>
      </c>
      <c r="F35" s="3">
        <f t="shared" si="2"/>
        <v>0</v>
      </c>
      <c r="G35" s="5">
        <f t="shared" si="2"/>
        <v>0</v>
      </c>
      <c r="H35" s="3">
        <f t="shared" si="2"/>
        <v>0</v>
      </c>
      <c r="I35" s="3">
        <f t="shared" si="2"/>
        <v>1</v>
      </c>
      <c r="J35" s="3">
        <f t="shared" si="2"/>
        <v>1</v>
      </c>
      <c r="K35" s="3">
        <f t="shared" si="2"/>
        <v>0</v>
      </c>
      <c r="L35" s="3">
        <f t="shared" si="2"/>
        <v>0</v>
      </c>
      <c r="M35" s="3">
        <f t="shared" si="2"/>
        <v>0</v>
      </c>
      <c r="N35" s="3">
        <f t="shared" si="2"/>
        <v>0</v>
      </c>
      <c r="O35" s="3">
        <f t="shared" si="2"/>
        <v>0</v>
      </c>
      <c r="P35" s="3">
        <f t="shared" si="2"/>
        <v>0</v>
      </c>
    </row>
    <row r="36" spans="4:16" x14ac:dyDescent="0.35">
      <c r="D36" s="3">
        <f t="shared" si="2"/>
        <v>0</v>
      </c>
      <c r="E36" s="3">
        <f t="shared" si="2"/>
        <v>0</v>
      </c>
      <c r="F36" s="3">
        <f t="shared" si="2"/>
        <v>0</v>
      </c>
      <c r="G36" s="5">
        <f t="shared" si="2"/>
        <v>0</v>
      </c>
      <c r="H36" s="3">
        <f t="shared" si="2"/>
        <v>0</v>
      </c>
      <c r="I36" s="3">
        <f t="shared" si="2"/>
        <v>1</v>
      </c>
      <c r="J36" s="3">
        <f t="shared" si="2"/>
        <v>1</v>
      </c>
      <c r="K36" s="3">
        <f t="shared" si="2"/>
        <v>0</v>
      </c>
      <c r="L36" s="3">
        <f t="shared" si="2"/>
        <v>0</v>
      </c>
      <c r="M36" s="3">
        <f t="shared" si="2"/>
        <v>0</v>
      </c>
      <c r="N36" s="3">
        <f t="shared" si="2"/>
        <v>0</v>
      </c>
      <c r="O36" s="3">
        <f t="shared" si="2"/>
        <v>0</v>
      </c>
      <c r="P36" s="3">
        <f t="shared" si="2"/>
        <v>0</v>
      </c>
    </row>
    <row r="37" spans="4:16" x14ac:dyDescent="0.35">
      <c r="D37" s="3">
        <f t="shared" si="2"/>
        <v>0</v>
      </c>
      <c r="E37" s="3">
        <f t="shared" si="2"/>
        <v>0</v>
      </c>
      <c r="F37" s="3">
        <f t="shared" si="2"/>
        <v>0</v>
      </c>
      <c r="G37" s="5">
        <f t="shared" si="2"/>
        <v>1</v>
      </c>
      <c r="H37" s="3">
        <f t="shared" si="2"/>
        <v>1</v>
      </c>
      <c r="I37" s="3">
        <f t="shared" si="2"/>
        <v>1</v>
      </c>
      <c r="J37" s="3">
        <f t="shared" si="2"/>
        <v>1</v>
      </c>
      <c r="K37" s="3">
        <f t="shared" si="2"/>
        <v>0</v>
      </c>
      <c r="L37" s="3">
        <f t="shared" si="2"/>
        <v>0</v>
      </c>
      <c r="M37" s="3">
        <f t="shared" si="2"/>
        <v>0</v>
      </c>
      <c r="N37" s="3">
        <f t="shared" si="2"/>
        <v>0</v>
      </c>
      <c r="O37" s="3">
        <f t="shared" si="2"/>
        <v>1</v>
      </c>
      <c r="P37" s="3">
        <f t="shared" si="2"/>
        <v>0</v>
      </c>
    </row>
    <row r="38" spans="4:16" x14ac:dyDescent="0.35">
      <c r="D38" s="3">
        <f t="shared" si="2"/>
        <v>0</v>
      </c>
      <c r="E38" s="3">
        <f t="shared" si="2"/>
        <v>0</v>
      </c>
      <c r="F38" s="3">
        <f t="shared" si="2"/>
        <v>0</v>
      </c>
      <c r="G38" s="5">
        <f t="shared" si="2"/>
        <v>1</v>
      </c>
      <c r="H38" s="3">
        <f t="shared" si="2"/>
        <v>1</v>
      </c>
      <c r="I38" s="3">
        <f t="shared" si="2"/>
        <v>1</v>
      </c>
      <c r="J38" s="3">
        <f t="shared" si="2"/>
        <v>1</v>
      </c>
      <c r="K38" s="3">
        <f t="shared" si="2"/>
        <v>0</v>
      </c>
      <c r="L38" s="3">
        <f t="shared" si="2"/>
        <v>0</v>
      </c>
      <c r="M38" s="3">
        <f t="shared" si="2"/>
        <v>0</v>
      </c>
      <c r="N38" s="3">
        <f t="shared" si="2"/>
        <v>0</v>
      </c>
      <c r="O38" s="3">
        <f t="shared" si="2"/>
        <v>1</v>
      </c>
      <c r="P38" s="3">
        <f t="shared" si="2"/>
        <v>0</v>
      </c>
    </row>
    <row r="39" spans="4:16" x14ac:dyDescent="0.35">
      <c r="D39" s="3">
        <f t="shared" si="2"/>
        <v>0</v>
      </c>
      <c r="E39" s="3">
        <f t="shared" si="2"/>
        <v>0</v>
      </c>
      <c r="F39" s="3">
        <f t="shared" si="2"/>
        <v>0</v>
      </c>
      <c r="G39" s="5">
        <f t="shared" si="2"/>
        <v>1</v>
      </c>
      <c r="H39" s="3">
        <f t="shared" si="2"/>
        <v>1</v>
      </c>
      <c r="I39" s="3">
        <f t="shared" si="2"/>
        <v>1</v>
      </c>
      <c r="J39" s="3">
        <f t="shared" si="2"/>
        <v>1</v>
      </c>
      <c r="K39" s="3">
        <f t="shared" si="2"/>
        <v>0</v>
      </c>
      <c r="L39" s="3">
        <f t="shared" si="2"/>
        <v>0</v>
      </c>
      <c r="M39" s="3">
        <f t="shared" si="2"/>
        <v>0</v>
      </c>
      <c r="N39" s="3">
        <f t="shared" si="2"/>
        <v>0</v>
      </c>
      <c r="O39" s="3">
        <f t="shared" si="2"/>
        <v>1</v>
      </c>
      <c r="P39" s="3">
        <f t="shared" si="2"/>
        <v>0</v>
      </c>
    </row>
    <row r="40" spans="4:16" x14ac:dyDescent="0.35">
      <c r="D40" s="3">
        <f t="shared" si="2"/>
        <v>0</v>
      </c>
      <c r="E40" s="3">
        <f t="shared" si="2"/>
        <v>0</v>
      </c>
      <c r="F40" s="3">
        <f t="shared" si="2"/>
        <v>0</v>
      </c>
      <c r="G40" s="5">
        <f t="shared" si="2"/>
        <v>1</v>
      </c>
      <c r="H40" s="3">
        <f t="shared" si="2"/>
        <v>1</v>
      </c>
      <c r="I40" s="3">
        <f t="shared" si="2"/>
        <v>1</v>
      </c>
      <c r="J40" s="3">
        <f t="shared" si="2"/>
        <v>1</v>
      </c>
      <c r="K40" s="3">
        <f t="shared" si="2"/>
        <v>0</v>
      </c>
      <c r="L40" s="3">
        <f t="shared" si="2"/>
        <v>0</v>
      </c>
      <c r="M40" s="3">
        <f t="shared" si="2"/>
        <v>0</v>
      </c>
      <c r="N40" s="3">
        <f t="shared" si="2"/>
        <v>0</v>
      </c>
      <c r="O40" s="3">
        <f t="shared" si="2"/>
        <v>1</v>
      </c>
      <c r="P40" s="3">
        <f t="shared" si="2"/>
        <v>0</v>
      </c>
    </row>
    <row r="41" spans="4:16" x14ac:dyDescent="0.35">
      <c r="D41" s="3">
        <f t="shared" si="2"/>
        <v>1</v>
      </c>
      <c r="E41" s="3">
        <f t="shared" si="2"/>
        <v>0</v>
      </c>
      <c r="F41" s="3">
        <f t="shared" si="2"/>
        <v>0</v>
      </c>
      <c r="G41" s="5">
        <f t="shared" si="2"/>
        <v>1</v>
      </c>
      <c r="H41" s="3">
        <f t="shared" si="2"/>
        <v>1</v>
      </c>
      <c r="I41" s="3">
        <f t="shared" si="2"/>
        <v>1</v>
      </c>
      <c r="J41" s="3">
        <f t="shared" si="2"/>
        <v>1</v>
      </c>
      <c r="K41" s="3">
        <f t="shared" si="2"/>
        <v>0</v>
      </c>
      <c r="L41" s="3">
        <f t="shared" si="2"/>
        <v>1</v>
      </c>
      <c r="M41" s="3">
        <f t="shared" si="2"/>
        <v>0</v>
      </c>
      <c r="N41" s="3">
        <f t="shared" si="2"/>
        <v>0</v>
      </c>
      <c r="O41" s="3">
        <f t="shared" si="2"/>
        <v>1</v>
      </c>
      <c r="P41" s="3">
        <f t="shared" si="2"/>
        <v>0</v>
      </c>
    </row>
    <row r="42" spans="4:16" x14ac:dyDescent="0.35">
      <c r="D42" s="3">
        <f>IF(ABS(D15)&gt;0.1, 1, 0)</f>
        <v>1</v>
      </c>
      <c r="E42" s="3">
        <f t="shared" si="2"/>
        <v>0</v>
      </c>
      <c r="F42" s="3">
        <f t="shared" si="2"/>
        <v>1</v>
      </c>
      <c r="G42" s="5">
        <f t="shared" si="2"/>
        <v>1</v>
      </c>
      <c r="H42" s="3">
        <f t="shared" si="2"/>
        <v>1</v>
      </c>
      <c r="I42" s="3">
        <f t="shared" si="2"/>
        <v>1</v>
      </c>
      <c r="J42" s="3">
        <f t="shared" si="2"/>
        <v>1</v>
      </c>
      <c r="K42" s="3">
        <f t="shared" si="2"/>
        <v>0</v>
      </c>
      <c r="L42" s="3">
        <f t="shared" si="2"/>
        <v>0</v>
      </c>
      <c r="M42" s="3">
        <f t="shared" si="2"/>
        <v>0</v>
      </c>
      <c r="N42" s="3">
        <f t="shared" si="2"/>
        <v>1</v>
      </c>
      <c r="O42" s="3">
        <f t="shared" si="2"/>
        <v>1</v>
      </c>
      <c r="P42" s="3">
        <f t="shared" si="2"/>
        <v>0</v>
      </c>
    </row>
    <row r="43" spans="4:16" x14ac:dyDescent="0.35">
      <c r="D43" s="3">
        <f t="shared" si="2"/>
        <v>1</v>
      </c>
      <c r="E43" s="3">
        <f t="shared" si="2"/>
        <v>0</v>
      </c>
      <c r="F43" s="3">
        <f t="shared" si="2"/>
        <v>1</v>
      </c>
      <c r="G43" s="5">
        <f t="shared" si="2"/>
        <v>1</v>
      </c>
      <c r="H43" s="3">
        <f t="shared" si="2"/>
        <v>1</v>
      </c>
      <c r="I43" s="3">
        <f t="shared" si="2"/>
        <v>1</v>
      </c>
      <c r="J43" s="3">
        <f t="shared" si="2"/>
        <v>1</v>
      </c>
      <c r="K43" s="3">
        <f t="shared" si="2"/>
        <v>0</v>
      </c>
      <c r="L43" s="3">
        <f t="shared" si="2"/>
        <v>1</v>
      </c>
      <c r="M43" s="3">
        <f t="shared" si="2"/>
        <v>0</v>
      </c>
      <c r="N43" s="3">
        <f t="shared" si="2"/>
        <v>0</v>
      </c>
      <c r="O43" s="3">
        <f t="shared" si="2"/>
        <v>1</v>
      </c>
      <c r="P43" s="3">
        <f t="shared" si="2"/>
        <v>0</v>
      </c>
    </row>
    <row r="44" spans="4:16" x14ac:dyDescent="0.35">
      <c r="D44" s="3">
        <f t="shared" si="2"/>
        <v>1</v>
      </c>
      <c r="E44" s="3">
        <f t="shared" si="2"/>
        <v>0</v>
      </c>
      <c r="F44" s="3">
        <f t="shared" si="2"/>
        <v>1</v>
      </c>
      <c r="G44" s="5">
        <f t="shared" si="2"/>
        <v>1</v>
      </c>
      <c r="H44" s="3">
        <f t="shared" si="2"/>
        <v>1</v>
      </c>
      <c r="I44" s="3">
        <f t="shared" si="2"/>
        <v>1</v>
      </c>
      <c r="J44" s="3">
        <f t="shared" si="2"/>
        <v>1</v>
      </c>
      <c r="K44" s="3">
        <f t="shared" si="2"/>
        <v>0</v>
      </c>
      <c r="L44" s="3">
        <f t="shared" si="2"/>
        <v>1</v>
      </c>
      <c r="M44" s="3">
        <f t="shared" si="2"/>
        <v>0</v>
      </c>
      <c r="N44" s="3">
        <f t="shared" si="2"/>
        <v>0</v>
      </c>
      <c r="O44" s="3">
        <f t="shared" si="2"/>
        <v>1</v>
      </c>
      <c r="P44" s="3">
        <f t="shared" si="2"/>
        <v>0</v>
      </c>
    </row>
    <row r="45" spans="4:16" x14ac:dyDescent="0.35">
      <c r="D45" s="3">
        <f t="shared" si="2"/>
        <v>0</v>
      </c>
      <c r="E45" s="3">
        <f t="shared" si="2"/>
        <v>0</v>
      </c>
      <c r="F45" s="3">
        <f t="shared" si="2"/>
        <v>0</v>
      </c>
      <c r="G45" s="5">
        <f t="shared" si="2"/>
        <v>1</v>
      </c>
      <c r="H45" s="3">
        <f t="shared" si="2"/>
        <v>1</v>
      </c>
      <c r="I45" s="3">
        <f t="shared" si="2"/>
        <v>1</v>
      </c>
      <c r="J45" s="3">
        <f t="shared" si="2"/>
        <v>1</v>
      </c>
      <c r="K45" s="3">
        <f t="shared" si="2"/>
        <v>0</v>
      </c>
      <c r="L45" s="3">
        <f t="shared" si="2"/>
        <v>0</v>
      </c>
      <c r="M45" s="3">
        <f t="shared" si="2"/>
        <v>0</v>
      </c>
      <c r="N45" s="3">
        <f t="shared" si="2"/>
        <v>0</v>
      </c>
      <c r="O45" s="3">
        <f t="shared" si="2"/>
        <v>1</v>
      </c>
      <c r="P45" s="3">
        <f t="shared" si="2"/>
        <v>0</v>
      </c>
    </row>
    <row r="46" spans="4:16" x14ac:dyDescent="0.35">
      <c r="D46" s="3">
        <f t="shared" ref="D46:P52" si="3">IF(ABS(D19)&gt;0.1, 1, 0)</f>
        <v>0</v>
      </c>
      <c r="E46" s="3">
        <f t="shared" si="3"/>
        <v>0</v>
      </c>
      <c r="F46" s="3">
        <f t="shared" si="3"/>
        <v>0</v>
      </c>
      <c r="G46" s="5">
        <f t="shared" si="3"/>
        <v>1</v>
      </c>
      <c r="H46" s="3">
        <f t="shared" si="3"/>
        <v>1</v>
      </c>
      <c r="I46" s="3">
        <f t="shared" si="3"/>
        <v>1</v>
      </c>
      <c r="J46" s="3">
        <f t="shared" si="3"/>
        <v>1</v>
      </c>
      <c r="K46" s="3">
        <f t="shared" si="3"/>
        <v>0</v>
      </c>
      <c r="L46" s="3">
        <f t="shared" si="3"/>
        <v>0</v>
      </c>
      <c r="M46" s="3">
        <f t="shared" si="3"/>
        <v>0</v>
      </c>
      <c r="N46" s="3">
        <f t="shared" si="3"/>
        <v>0</v>
      </c>
      <c r="O46" s="3">
        <f t="shared" si="3"/>
        <v>1</v>
      </c>
      <c r="P46" s="3">
        <f t="shared" si="3"/>
        <v>0</v>
      </c>
    </row>
    <row r="47" spans="4:16" x14ac:dyDescent="0.35">
      <c r="D47" s="3">
        <f t="shared" si="3"/>
        <v>0</v>
      </c>
      <c r="E47" s="3">
        <f t="shared" si="3"/>
        <v>1</v>
      </c>
      <c r="F47" s="3">
        <f t="shared" si="3"/>
        <v>1</v>
      </c>
      <c r="G47" s="5">
        <f t="shared" si="3"/>
        <v>0</v>
      </c>
      <c r="H47" s="3">
        <f t="shared" si="3"/>
        <v>1</v>
      </c>
      <c r="I47" s="3">
        <f t="shared" si="3"/>
        <v>1</v>
      </c>
      <c r="J47" s="3">
        <f t="shared" si="3"/>
        <v>1</v>
      </c>
      <c r="K47" s="3">
        <f t="shared" si="3"/>
        <v>1</v>
      </c>
      <c r="L47" s="3">
        <f t="shared" si="3"/>
        <v>0</v>
      </c>
      <c r="M47" s="3">
        <f t="shared" si="3"/>
        <v>1</v>
      </c>
      <c r="N47" s="3">
        <f t="shared" si="3"/>
        <v>1</v>
      </c>
      <c r="O47" s="3">
        <f t="shared" si="3"/>
        <v>1</v>
      </c>
      <c r="P47" s="3">
        <f t="shared" si="3"/>
        <v>1</v>
      </c>
    </row>
    <row r="48" spans="4:16" x14ac:dyDescent="0.35">
      <c r="D48" s="3">
        <f>IF(ABS(D21)&gt;0.1, 1, 0)</f>
        <v>0</v>
      </c>
      <c r="E48" s="3">
        <f t="shared" si="3"/>
        <v>0</v>
      </c>
      <c r="F48" s="3">
        <f t="shared" si="3"/>
        <v>0</v>
      </c>
      <c r="G48" s="5">
        <f t="shared" si="3"/>
        <v>0</v>
      </c>
      <c r="H48" s="3">
        <f t="shared" si="3"/>
        <v>1</v>
      </c>
      <c r="I48" s="3">
        <f>IF(ABS(I21)&gt;0.1, 1, 0)</f>
        <v>0</v>
      </c>
      <c r="J48" s="3">
        <f t="shared" si="3"/>
        <v>0</v>
      </c>
      <c r="K48" s="3">
        <f t="shared" si="3"/>
        <v>0</v>
      </c>
      <c r="L48" s="3">
        <f t="shared" si="3"/>
        <v>0</v>
      </c>
      <c r="M48" s="3">
        <f t="shared" si="3"/>
        <v>0</v>
      </c>
      <c r="N48" s="3">
        <f t="shared" si="3"/>
        <v>0</v>
      </c>
      <c r="O48" s="3">
        <f t="shared" si="3"/>
        <v>1</v>
      </c>
      <c r="P48" s="3">
        <f t="shared" si="3"/>
        <v>0</v>
      </c>
    </row>
    <row r="49" spans="4:16" x14ac:dyDescent="0.35">
      <c r="D49" s="3">
        <f>IF(ABS(D22)&gt;0.1, 1, 0)</f>
        <v>0</v>
      </c>
      <c r="E49" s="3">
        <f t="shared" si="3"/>
        <v>0</v>
      </c>
      <c r="F49" s="3">
        <f t="shared" si="3"/>
        <v>1</v>
      </c>
      <c r="G49" s="5">
        <f t="shared" si="3"/>
        <v>1</v>
      </c>
      <c r="H49" s="3">
        <f t="shared" si="3"/>
        <v>1</v>
      </c>
      <c r="I49" s="3">
        <f t="shared" si="3"/>
        <v>1</v>
      </c>
      <c r="J49" s="3">
        <f t="shared" si="3"/>
        <v>1</v>
      </c>
      <c r="K49" s="3">
        <f t="shared" si="3"/>
        <v>0</v>
      </c>
      <c r="L49" s="3">
        <f t="shared" si="3"/>
        <v>1</v>
      </c>
      <c r="M49" s="3">
        <f t="shared" si="3"/>
        <v>0</v>
      </c>
      <c r="N49" s="3">
        <f t="shared" si="3"/>
        <v>0</v>
      </c>
      <c r="O49" s="3">
        <f t="shared" si="3"/>
        <v>1</v>
      </c>
      <c r="P49" s="3">
        <f t="shared" si="3"/>
        <v>0</v>
      </c>
    </row>
    <row r="50" spans="4:16" x14ac:dyDescent="0.35">
      <c r="D50" s="3">
        <f t="shared" si="3"/>
        <v>1</v>
      </c>
      <c r="E50" s="3">
        <f t="shared" si="3"/>
        <v>0</v>
      </c>
      <c r="F50" s="3">
        <f t="shared" si="3"/>
        <v>1</v>
      </c>
      <c r="G50" s="5">
        <f t="shared" si="3"/>
        <v>1</v>
      </c>
      <c r="H50" s="3">
        <f t="shared" si="3"/>
        <v>1</v>
      </c>
      <c r="I50" s="3">
        <f t="shared" si="3"/>
        <v>1</v>
      </c>
      <c r="J50" s="3">
        <f t="shared" si="3"/>
        <v>1</v>
      </c>
      <c r="K50" s="3">
        <f t="shared" si="3"/>
        <v>0</v>
      </c>
      <c r="L50" s="3">
        <f t="shared" si="3"/>
        <v>1</v>
      </c>
      <c r="M50" s="3">
        <f t="shared" si="3"/>
        <v>1</v>
      </c>
      <c r="N50" s="3">
        <f t="shared" si="3"/>
        <v>1</v>
      </c>
      <c r="O50" s="3">
        <f t="shared" si="3"/>
        <v>1</v>
      </c>
      <c r="P50" s="3">
        <f t="shared" si="3"/>
        <v>0</v>
      </c>
    </row>
    <row r="51" spans="4:16" x14ac:dyDescent="0.35">
      <c r="D51" s="3">
        <f t="shared" si="3"/>
        <v>1</v>
      </c>
      <c r="E51" s="3">
        <f t="shared" si="3"/>
        <v>0</v>
      </c>
      <c r="F51" s="3">
        <f t="shared" si="3"/>
        <v>1</v>
      </c>
      <c r="G51" s="5">
        <f t="shared" si="3"/>
        <v>0</v>
      </c>
      <c r="H51" s="3">
        <f t="shared" si="3"/>
        <v>1</v>
      </c>
      <c r="I51" s="3">
        <f t="shared" si="3"/>
        <v>0</v>
      </c>
      <c r="J51" s="3">
        <f t="shared" si="3"/>
        <v>1</v>
      </c>
      <c r="K51" s="3">
        <f t="shared" si="3"/>
        <v>0</v>
      </c>
      <c r="L51" s="3">
        <f t="shared" si="3"/>
        <v>1</v>
      </c>
      <c r="M51" s="3">
        <f t="shared" si="3"/>
        <v>1</v>
      </c>
      <c r="N51" s="3">
        <f t="shared" si="3"/>
        <v>0</v>
      </c>
      <c r="O51" s="3">
        <f t="shared" si="3"/>
        <v>1</v>
      </c>
      <c r="P51" s="3">
        <f t="shared" si="3"/>
        <v>0</v>
      </c>
    </row>
    <row r="52" spans="4:16" x14ac:dyDescent="0.35">
      <c r="D52" s="3">
        <f t="shared" si="3"/>
        <v>0</v>
      </c>
      <c r="E52" s="3">
        <f t="shared" si="3"/>
        <v>0</v>
      </c>
      <c r="F52" s="3">
        <f t="shared" si="3"/>
        <v>1</v>
      </c>
      <c r="G52" s="5">
        <f t="shared" si="3"/>
        <v>1</v>
      </c>
      <c r="H52" s="3">
        <f t="shared" si="3"/>
        <v>1</v>
      </c>
      <c r="I52" s="3">
        <f t="shared" si="3"/>
        <v>0</v>
      </c>
      <c r="J52" s="3">
        <f t="shared" si="3"/>
        <v>1</v>
      </c>
      <c r="K52" s="3">
        <f t="shared" si="3"/>
        <v>0</v>
      </c>
      <c r="L52" s="3">
        <f t="shared" si="3"/>
        <v>1</v>
      </c>
      <c r="M52" s="3">
        <f t="shared" si="3"/>
        <v>0</v>
      </c>
      <c r="N52" s="3">
        <f t="shared" si="3"/>
        <v>0</v>
      </c>
      <c r="O52" s="3">
        <f t="shared" si="3"/>
        <v>0</v>
      </c>
      <c r="P52" s="3">
        <f t="shared" si="3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Bhagwat, Sarang Sunil</cp:lastModifiedBy>
  <dcterms:created xsi:type="dcterms:W3CDTF">2024-12-19T07:36:38Z</dcterms:created>
  <dcterms:modified xsi:type="dcterms:W3CDTF">2024-12-19T23:51:35Z</dcterms:modified>
</cp:coreProperties>
</file>