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TRY_results\"/>
    </mc:Choice>
  </mc:AlternateContent>
  <xr:revisionPtr revIDLastSave="0" documentId="13_ncr:1_{F067DBB2-789A-4C01-B54C-51E0C94440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1" l="1"/>
  <c r="O52" i="1"/>
  <c r="N52" i="1"/>
  <c r="M52" i="1"/>
  <c r="L52" i="1"/>
  <c r="K52" i="1"/>
  <c r="J52" i="1"/>
  <c r="I52" i="1"/>
  <c r="H52" i="1"/>
  <c r="G52" i="1"/>
  <c r="F52" i="1"/>
  <c r="E52" i="1"/>
  <c r="D52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P50" i="1"/>
  <c r="O50" i="1"/>
  <c r="N50" i="1"/>
  <c r="M50" i="1"/>
  <c r="L50" i="1"/>
  <c r="L27" i="1" s="1"/>
  <c r="K50" i="1"/>
  <c r="J50" i="1"/>
  <c r="I50" i="1"/>
  <c r="H50" i="1"/>
  <c r="G50" i="1"/>
  <c r="F50" i="1"/>
  <c r="E50" i="1"/>
  <c r="D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P45" i="1"/>
  <c r="O45" i="1"/>
  <c r="N45" i="1"/>
  <c r="M45" i="1"/>
  <c r="M27" i="1" s="1"/>
  <c r="L45" i="1"/>
  <c r="K45" i="1"/>
  <c r="J45" i="1"/>
  <c r="I45" i="1"/>
  <c r="H45" i="1"/>
  <c r="G45" i="1"/>
  <c r="F45" i="1"/>
  <c r="E45" i="1"/>
  <c r="D45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P35" i="1"/>
  <c r="O35" i="1"/>
  <c r="O27" i="1" s="1"/>
  <c r="N35" i="1"/>
  <c r="M35" i="1"/>
  <c r="L35" i="1"/>
  <c r="K35" i="1"/>
  <c r="J35" i="1"/>
  <c r="I35" i="1"/>
  <c r="H35" i="1"/>
  <c r="G35" i="1"/>
  <c r="F35" i="1"/>
  <c r="E35" i="1"/>
  <c r="D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P33" i="1"/>
  <c r="O33" i="1"/>
  <c r="N33" i="1"/>
  <c r="N27" i="1" s="1"/>
  <c r="M33" i="1"/>
  <c r="L33" i="1"/>
  <c r="K33" i="1"/>
  <c r="J33" i="1"/>
  <c r="I33" i="1"/>
  <c r="H33" i="1"/>
  <c r="G33" i="1"/>
  <c r="F33" i="1"/>
  <c r="E33" i="1"/>
  <c r="D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P30" i="1"/>
  <c r="P27" i="1" s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O29" i="1"/>
  <c r="N29" i="1"/>
  <c r="M29" i="1"/>
  <c r="L29" i="1"/>
  <c r="K29" i="1"/>
  <c r="J29" i="1"/>
  <c r="I29" i="1"/>
  <c r="I27" i="1" s="1"/>
  <c r="H29" i="1"/>
  <c r="H27" i="1" s="1"/>
  <c r="G29" i="1"/>
  <c r="G27" i="1" s="1"/>
  <c r="F29" i="1"/>
  <c r="F27" i="1" s="1"/>
  <c r="E29" i="1"/>
  <c r="E27" i="1" s="1"/>
  <c r="D29" i="1"/>
  <c r="D27" i="1" s="1"/>
  <c r="K27" i="1"/>
  <c r="J27" i="1"/>
</calcChain>
</file>

<file path=xl/sharedStrings.xml><?xml version="1.0" encoding="utf-8"?>
<sst xmlns="http://schemas.openxmlformats.org/spreadsheetml/2006/main" count="63" uniqueCount="25">
  <si>
    <t>product</t>
  </si>
  <si>
    <t>feedstock</t>
  </si>
  <si>
    <t>fermentation cell mass yield</t>
  </si>
  <si>
    <t>feedstock unit price</t>
  </si>
  <si>
    <t>feedstock capacity</t>
  </si>
  <si>
    <t>operating time</t>
  </si>
  <si>
    <t>natural gas unit price</t>
  </si>
  <si>
    <t>CSL unit price</t>
  </si>
  <si>
    <t>CSL loading</t>
  </si>
  <si>
    <t>electricity unit price</t>
  </si>
  <si>
    <t>inoculum ratio</t>
  </si>
  <si>
    <t>seed train fermentation ratio</t>
  </si>
  <si>
    <t>product storage time</t>
  </si>
  <si>
    <t>boiler efficiency</t>
  </si>
  <si>
    <t>turbogenerator efficiency</t>
  </si>
  <si>
    <t>TAL</t>
  </si>
  <si>
    <t>glucose</t>
  </si>
  <si>
    <t>cornstover</t>
  </si>
  <si>
    <t>sugarcane</t>
  </si>
  <si>
    <t>corn</t>
  </si>
  <si>
    <t>TAL_SA</t>
  </si>
  <si>
    <t>HP</t>
  </si>
  <si>
    <t>HP_neutral</t>
  </si>
  <si>
    <t>HP_hexanol</t>
  </si>
  <si>
    <t>HP_neutral_hexanol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</si>
</sst>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J1" sqref="J1"/>
    </sheetView>
  </sheetViews>
  <sheetFormatPr defaultRowHeight="14.5" x14ac:dyDescent="0.35"/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>
        <v>0</v>
      </c>
      <c r="B2" t="s">
        <v>15</v>
      </c>
      <c r="C2" t="s">
        <v>16</v>
      </c>
      <c r="D2">
        <v>-4.5438901755607023E-3</v>
      </c>
      <c r="E2">
        <v>-0.1224598178392714</v>
      </c>
      <c r="F2">
        <v>3.4648554594218367E-2</v>
      </c>
      <c r="G2">
        <v>-3.2326593306373233E-2</v>
      </c>
      <c r="H2">
        <v>-2.2230616922467691E-2</v>
      </c>
      <c r="I2">
        <v>0.18066542666170671</v>
      </c>
      <c r="J2">
        <v>0.41915649262597049</v>
      </c>
      <c r="K2">
        <v>-9.0438217752871017E-2</v>
      </c>
      <c r="L2">
        <v>0.10066744266977069</v>
      </c>
      <c r="M2">
        <v>-2.8336241344965381E-2</v>
      </c>
      <c r="N2">
        <v>1.7259621038484149E-2</v>
      </c>
      <c r="O2">
        <v>3.032287329149317E-2</v>
      </c>
      <c r="P2">
        <v>3.703502814011256E-3</v>
      </c>
    </row>
    <row r="3" spans="1:16" x14ac:dyDescent="0.35">
      <c r="A3" s="1">
        <v>1</v>
      </c>
      <c r="B3" t="s">
        <v>15</v>
      </c>
      <c r="C3" t="s">
        <v>17</v>
      </c>
      <c r="D3">
        <v>6.5732422929691706E-3</v>
      </c>
      <c r="E3">
        <v>-7.472593090372362E-2</v>
      </c>
      <c r="F3">
        <v>6.3364093456373824E-2</v>
      </c>
      <c r="G3">
        <v>-1.0445705782823131E-2</v>
      </c>
      <c r="H3">
        <v>-2.98815595262381E-2</v>
      </c>
      <c r="I3">
        <v>0.18837771351085411</v>
      </c>
      <c r="J3">
        <v>0.45518294073176291</v>
      </c>
      <c r="K3">
        <v>-9.4815739262957055E-2</v>
      </c>
      <c r="L3">
        <v>9.9316429265717057E-2</v>
      </c>
      <c r="M3">
        <v>-3.3718982875931502E-2</v>
      </c>
      <c r="N3">
        <v>9.1725486901947616E-3</v>
      </c>
      <c r="O3">
        <v>6.2781755127020514E-2</v>
      </c>
      <c r="P3">
        <v>1.7923271693086769E-3</v>
      </c>
    </row>
    <row r="4" spans="1:16" x14ac:dyDescent="0.35">
      <c r="A4" s="1">
        <v>2</v>
      </c>
      <c r="B4" t="s">
        <v>15</v>
      </c>
      <c r="C4" t="s">
        <v>18</v>
      </c>
      <c r="D4">
        <v>2.0125520502082008E-3</v>
      </c>
      <c r="E4">
        <v>-9.0561290245160977E-2</v>
      </c>
      <c r="F4">
        <v>9.5588638354553418E-2</v>
      </c>
      <c r="G4">
        <v>-0.1647349309397238</v>
      </c>
      <c r="H4">
        <v>-1.6914403657614631E-2</v>
      </c>
      <c r="I4">
        <v>0.18250949803799221</v>
      </c>
      <c r="J4">
        <v>0.49508156432625727</v>
      </c>
      <c r="K4">
        <v>-8.4517106068424275E-2</v>
      </c>
      <c r="L4">
        <v>8.9572006288025155E-2</v>
      </c>
      <c r="M4">
        <v>-2.605728822915292E-2</v>
      </c>
      <c r="N4">
        <v>1.4821403285613139E-2</v>
      </c>
      <c r="O4">
        <v>5.6276289105156418E-2</v>
      </c>
      <c r="P4">
        <v>8.5089940359761446E-3</v>
      </c>
    </row>
    <row r="5" spans="1:16" x14ac:dyDescent="0.35">
      <c r="A5" s="1">
        <v>3</v>
      </c>
      <c r="B5" t="s">
        <v>15</v>
      </c>
      <c r="C5" t="s">
        <v>19</v>
      </c>
      <c r="D5">
        <v>-5.3618134472537887E-3</v>
      </c>
      <c r="E5">
        <v>-4.7876447505790017E-2</v>
      </c>
      <c r="F5">
        <v>3.5643406573626288E-2</v>
      </c>
      <c r="G5">
        <v>-2.9525590102360409E-2</v>
      </c>
      <c r="H5">
        <v>-2.977576710306841E-2</v>
      </c>
      <c r="I5">
        <v>0.1843554894219577</v>
      </c>
      <c r="J5">
        <v>0.43280208320833291</v>
      </c>
      <c r="K5">
        <v>-8.9901479605918419E-2</v>
      </c>
      <c r="L5">
        <v>0.1001556646226585</v>
      </c>
      <c r="M5">
        <v>-3.3037380149520602E-2</v>
      </c>
      <c r="N5">
        <v>1.3744950979803921E-2</v>
      </c>
      <c r="O5">
        <v>3.3974535898143587E-2</v>
      </c>
      <c r="P5">
        <v>3.0460921843687369E-4</v>
      </c>
    </row>
    <row r="6" spans="1:16" x14ac:dyDescent="0.35">
      <c r="A6" s="1">
        <v>4</v>
      </c>
      <c r="B6" t="s">
        <v>20</v>
      </c>
      <c r="C6" t="s">
        <v>16</v>
      </c>
      <c r="D6">
        <v>-5.6258145032580132E-3</v>
      </c>
      <c r="E6">
        <v>-9.6772419089676362E-2</v>
      </c>
      <c r="F6">
        <v>-1.2940755763023049E-2</v>
      </c>
      <c r="G6">
        <v>5.1713390853563412E-2</v>
      </c>
      <c r="H6">
        <v>1.546671786687147E-2</v>
      </c>
      <c r="I6">
        <v>0.27820277681110722</v>
      </c>
      <c r="J6">
        <v>0.33949124596498392</v>
      </c>
      <c r="K6">
        <v>2.7508910035640142E-3</v>
      </c>
      <c r="L6">
        <v>-5.1907215628862517E-2</v>
      </c>
      <c r="M6">
        <v>-2.3962079848319391E-2</v>
      </c>
      <c r="N6">
        <v>3.1610814443257772E-2</v>
      </c>
      <c r="O6">
        <v>-7.0222360889443556E-3</v>
      </c>
      <c r="P6">
        <v>-1.331986127944512E-2</v>
      </c>
    </row>
    <row r="7" spans="1:16" x14ac:dyDescent="0.35">
      <c r="A7" s="1">
        <v>5</v>
      </c>
      <c r="B7" t="s">
        <v>20</v>
      </c>
      <c r="C7" t="s">
        <v>17</v>
      </c>
      <c r="D7">
        <v>-6.5847623390493564E-3</v>
      </c>
      <c r="E7">
        <v>-4.6428953715814861E-2</v>
      </c>
      <c r="F7">
        <v>4.6510266041064167E-3</v>
      </c>
      <c r="G7">
        <v>6.7438061752247008E-2</v>
      </c>
      <c r="H7">
        <v>1.990779163116653E-2</v>
      </c>
      <c r="I7">
        <v>0.27966630266521059</v>
      </c>
      <c r="J7">
        <v>0.36368468673874688</v>
      </c>
      <c r="K7">
        <v>7.7952311809247237E-3</v>
      </c>
      <c r="L7">
        <v>-5.0317833271333087E-2</v>
      </c>
      <c r="M7">
        <v>-2.8933267733070929E-2</v>
      </c>
      <c r="N7">
        <v>3.282867531470126E-2</v>
      </c>
      <c r="O7">
        <v>2.4304801219204881E-2</v>
      </c>
      <c r="P7">
        <v>-5.8718634874539502E-3</v>
      </c>
    </row>
    <row r="8" spans="1:16" x14ac:dyDescent="0.35">
      <c r="A8" s="1">
        <v>6</v>
      </c>
      <c r="B8" t="s">
        <v>20</v>
      </c>
      <c r="C8" t="s">
        <v>18</v>
      </c>
      <c r="D8">
        <v>9.8533834135336538E-3</v>
      </c>
      <c r="E8">
        <v>-5.9270541082164327E-2</v>
      </c>
      <c r="F8">
        <v>-1.5160284641138571E-2</v>
      </c>
      <c r="G8">
        <v>-0.12608632834531339</v>
      </c>
      <c r="H8">
        <v>1.8277417109668442E-2</v>
      </c>
      <c r="I8">
        <v>0.24643154572618289</v>
      </c>
      <c r="J8">
        <v>0.32537438949755798</v>
      </c>
      <c r="K8">
        <v>1.2329329317317271E-3</v>
      </c>
      <c r="L8">
        <v>-5.5597470389881561E-2</v>
      </c>
      <c r="M8">
        <v>-2.3365821463285849E-2</v>
      </c>
      <c r="N8">
        <v>3.6174480697922791E-2</v>
      </c>
      <c r="O8">
        <v>3.5064044256177027E-2</v>
      </c>
      <c r="P8">
        <v>4.5831543326173303E-3</v>
      </c>
    </row>
    <row r="9" spans="1:16" x14ac:dyDescent="0.35">
      <c r="A9" s="1">
        <v>7</v>
      </c>
      <c r="B9" t="s">
        <v>20</v>
      </c>
      <c r="C9" t="s">
        <v>19</v>
      </c>
      <c r="D9">
        <v>-1.249464197856791E-2</v>
      </c>
      <c r="E9">
        <v>-2.2001080004320019E-2</v>
      </c>
      <c r="F9">
        <v>-7.5160620642482573E-3</v>
      </c>
      <c r="G9">
        <v>5.5207036828147323E-2</v>
      </c>
      <c r="H9">
        <v>2.109253237012948E-2</v>
      </c>
      <c r="I9">
        <v>0.2764637298549194</v>
      </c>
      <c r="J9">
        <v>0.34962293449173798</v>
      </c>
      <c r="K9">
        <v>8.1005124020496078E-3</v>
      </c>
      <c r="L9">
        <v>-4.788575954303817E-2</v>
      </c>
      <c r="M9">
        <v>-3.8463897855591421E-2</v>
      </c>
      <c r="N9">
        <v>3.4227016908067627E-2</v>
      </c>
      <c r="O9">
        <v>-9.4455737822951285E-3</v>
      </c>
      <c r="P9">
        <v>-1.679161916647667E-2</v>
      </c>
    </row>
    <row r="10" spans="1:16" x14ac:dyDescent="0.35">
      <c r="A10" s="1">
        <v>8</v>
      </c>
      <c r="B10" t="s">
        <v>21</v>
      </c>
      <c r="C10" t="s">
        <v>16</v>
      </c>
      <c r="D10">
        <v>-4.783065532262129E-2</v>
      </c>
      <c r="E10">
        <v>3.1642206568826277E-2</v>
      </c>
      <c r="F10">
        <v>-3.0332761331045319E-2</v>
      </c>
      <c r="G10">
        <v>-0.21902391609566441</v>
      </c>
      <c r="H10">
        <v>0.60799846399385593</v>
      </c>
      <c r="I10">
        <v>0.203564014256057</v>
      </c>
      <c r="J10">
        <v>0.19448698594794381</v>
      </c>
      <c r="K10">
        <v>2.322930891723567E-2</v>
      </c>
      <c r="L10">
        <v>1.6930051720206878E-2</v>
      </c>
      <c r="M10">
        <v>-8.3918735674942697E-3</v>
      </c>
      <c r="N10">
        <v>-1.8027912111648449E-3</v>
      </c>
      <c r="O10">
        <v>-0.40463509054036217</v>
      </c>
      <c r="P10">
        <v>2.207912831651327E-2</v>
      </c>
    </row>
    <row r="11" spans="1:16" x14ac:dyDescent="0.35">
      <c r="A11" s="1">
        <v>9</v>
      </c>
      <c r="B11" t="s">
        <v>21</v>
      </c>
      <c r="C11" t="s">
        <v>17</v>
      </c>
      <c r="D11">
        <v>-1.6738338953355809E-2</v>
      </c>
      <c r="E11">
        <v>1.8184872739490959E-2</v>
      </c>
      <c r="F11">
        <v>5.3614390457561827E-2</v>
      </c>
      <c r="G11">
        <v>-0.19690638762555049</v>
      </c>
      <c r="H11">
        <v>0.636064080256321</v>
      </c>
      <c r="I11">
        <v>0.18730241320965291</v>
      </c>
      <c r="J11">
        <v>0.16749810999244</v>
      </c>
      <c r="K11">
        <v>2.3091932367729471E-2</v>
      </c>
      <c r="L11">
        <v>1.228420913683655E-3</v>
      </c>
      <c r="M11">
        <v>-1.5590270361081441E-2</v>
      </c>
      <c r="N11">
        <v>-3.1018684074736302E-3</v>
      </c>
      <c r="O11">
        <v>-0.41690182760731043</v>
      </c>
      <c r="P11">
        <v>2.0575186300745198E-2</v>
      </c>
    </row>
    <row r="12" spans="1:16" x14ac:dyDescent="0.35">
      <c r="A12" s="1">
        <v>10</v>
      </c>
      <c r="B12" t="s">
        <v>21</v>
      </c>
      <c r="C12" t="s">
        <v>18</v>
      </c>
      <c r="D12">
        <v>1.326082104328417E-2</v>
      </c>
      <c r="E12">
        <v>1.8135624542498171E-2</v>
      </c>
      <c r="F12">
        <v>3.8975675902703608E-2</v>
      </c>
      <c r="G12">
        <v>-0.73933582134328535</v>
      </c>
      <c r="H12">
        <v>0.34202498409993642</v>
      </c>
      <c r="I12">
        <v>0.16312759651038611</v>
      </c>
      <c r="J12">
        <v>0.12714886059544239</v>
      </c>
      <c r="K12">
        <v>4.9625190500762001E-2</v>
      </c>
      <c r="L12">
        <v>8.2630506522026081E-2</v>
      </c>
      <c r="M12">
        <v>-2.0794643178572709E-3</v>
      </c>
      <c r="N12">
        <v>-9.900231600926403E-3</v>
      </c>
      <c r="O12">
        <v>-0.15913436453745819</v>
      </c>
      <c r="P12">
        <v>5.8847275389101547E-2</v>
      </c>
    </row>
    <row r="13" spans="1:16" x14ac:dyDescent="0.35">
      <c r="A13" s="1">
        <v>11</v>
      </c>
      <c r="B13" t="s">
        <v>21</v>
      </c>
      <c r="C13" t="s">
        <v>19</v>
      </c>
      <c r="D13">
        <v>-3.121951687806751E-2</v>
      </c>
      <c r="E13">
        <v>2.0923763695054779E-2</v>
      </c>
      <c r="F13">
        <v>5.3620918483673938E-2</v>
      </c>
      <c r="G13">
        <v>-0.20107386029544119</v>
      </c>
      <c r="H13">
        <v>0.62779182316729265</v>
      </c>
      <c r="I13">
        <v>0.1910383641534566</v>
      </c>
      <c r="J13">
        <v>0.17026647306589229</v>
      </c>
      <c r="K13">
        <v>3.4088392353569412E-2</v>
      </c>
      <c r="L13">
        <v>4.6150264601058401E-3</v>
      </c>
      <c r="M13">
        <v>-1.4946587786351139E-2</v>
      </c>
      <c r="N13">
        <v>-4.849555398221593E-3</v>
      </c>
      <c r="O13">
        <v>-0.41636710546842193</v>
      </c>
      <c r="P13">
        <v>4.1367813471253893E-2</v>
      </c>
    </row>
    <row r="14" spans="1:16" x14ac:dyDescent="0.35">
      <c r="A14" s="1">
        <v>12</v>
      </c>
      <c r="B14" t="s">
        <v>22</v>
      </c>
      <c r="C14" t="s">
        <v>16</v>
      </c>
      <c r="D14">
        <v>0.1019065476636916</v>
      </c>
      <c r="E14">
        <v>3.9510987774694369E-2</v>
      </c>
      <c r="F14">
        <v>9.8939473486837168E-2</v>
      </c>
      <c r="G14">
        <v>-0.25571139278481958</v>
      </c>
      <c r="H14">
        <v>0.66816770419260485</v>
      </c>
      <c r="I14">
        <v>0.26307957698942469</v>
      </c>
      <c r="J14">
        <v>0.30697967449186231</v>
      </c>
      <c r="K14">
        <v>-2.3690092252306311E-2</v>
      </c>
      <c r="L14">
        <v>0.1478076951923798</v>
      </c>
      <c r="M14">
        <v>8.1630540763519083E-2</v>
      </c>
      <c r="N14">
        <v>7.9779494487362185E-2</v>
      </c>
      <c r="O14">
        <v>-0.34427960699017468</v>
      </c>
      <c r="P14">
        <v>7.1526288157203924E-2</v>
      </c>
    </row>
    <row r="15" spans="1:16" x14ac:dyDescent="0.35">
      <c r="A15" s="1">
        <v>13</v>
      </c>
      <c r="B15" t="s">
        <v>22</v>
      </c>
      <c r="C15" t="s">
        <v>17</v>
      </c>
      <c r="D15">
        <v>0.14057451436285909</v>
      </c>
      <c r="E15">
        <v>1.5001875046876169E-2</v>
      </c>
      <c r="F15">
        <v>0.16276456911422779</v>
      </c>
      <c r="G15">
        <v>-0.2420295507387685</v>
      </c>
      <c r="H15">
        <v>0.6677701942548564</v>
      </c>
      <c r="I15">
        <v>0.26151203780094501</v>
      </c>
      <c r="J15">
        <v>0.29058876471911799</v>
      </c>
      <c r="K15">
        <v>-2.9370734268356711E-2</v>
      </c>
      <c r="L15">
        <v>0.14809870246756171</v>
      </c>
      <c r="M15">
        <v>8.9964749118727969E-2</v>
      </c>
      <c r="N15">
        <v>8.7119177979449486E-2</v>
      </c>
      <c r="O15">
        <v>-0.39585989649741238</v>
      </c>
      <c r="P15">
        <v>4.1351533788344712E-2</v>
      </c>
    </row>
    <row r="16" spans="1:16" x14ac:dyDescent="0.35">
      <c r="A16" s="1">
        <v>14</v>
      </c>
      <c r="B16" t="s">
        <v>22</v>
      </c>
      <c r="C16" t="s">
        <v>18</v>
      </c>
      <c r="D16">
        <v>0.15753393834845869</v>
      </c>
      <c r="E16">
        <v>2.6741168529213231E-2</v>
      </c>
      <c r="F16">
        <v>0.15328733218330459</v>
      </c>
      <c r="G16">
        <v>-0.71491487287182176</v>
      </c>
      <c r="H16">
        <v>0.48749118727968199</v>
      </c>
      <c r="I16">
        <v>0.18030150753768839</v>
      </c>
      <c r="J16">
        <v>0.2151443786094652</v>
      </c>
      <c r="K16">
        <v>1.870696767419185E-2</v>
      </c>
      <c r="L16">
        <v>6.5928148203705086E-2</v>
      </c>
      <c r="M16">
        <v>6.4900622515562889E-2</v>
      </c>
      <c r="N16">
        <v>0.1004530113252831</v>
      </c>
      <c r="O16">
        <v>-0.18782119552988821</v>
      </c>
      <c r="P16">
        <v>2.0873021825545641E-2</v>
      </c>
    </row>
    <row r="17" spans="1:16" x14ac:dyDescent="0.35">
      <c r="A17" s="1">
        <v>15</v>
      </c>
      <c r="B17" t="s">
        <v>22</v>
      </c>
      <c r="C17" t="s">
        <v>19</v>
      </c>
      <c r="D17">
        <v>0.14063751593789839</v>
      </c>
      <c r="E17">
        <v>2.1735543388584719E-2</v>
      </c>
      <c r="F17">
        <v>0.15551188779719491</v>
      </c>
      <c r="G17">
        <v>-0.24851871296782421</v>
      </c>
      <c r="H17">
        <v>0.66976824420610515</v>
      </c>
      <c r="I17">
        <v>0.26898072451811289</v>
      </c>
      <c r="J17">
        <v>0.2999594989874747</v>
      </c>
      <c r="K17">
        <v>-2.3295582389559741E-2</v>
      </c>
      <c r="L17">
        <v>0.14426160654016351</v>
      </c>
      <c r="M17">
        <v>8.5940148503712593E-2</v>
      </c>
      <c r="N17">
        <v>9.0533263331583291E-2</v>
      </c>
      <c r="O17">
        <v>-0.36309007725193132</v>
      </c>
      <c r="P17">
        <v>7.0755268881722039E-2</v>
      </c>
    </row>
    <row r="18" spans="1:16" x14ac:dyDescent="0.35">
      <c r="A18" s="1">
        <v>16</v>
      </c>
      <c r="B18" t="s">
        <v>23</v>
      </c>
      <c r="C18" t="s">
        <v>16</v>
      </c>
      <c r="D18">
        <v>-0.1041286405145621</v>
      </c>
      <c r="E18">
        <v>2.54813819255277E-2</v>
      </c>
      <c r="F18">
        <v>-4.7734750939003763E-2</v>
      </c>
      <c r="G18">
        <v>-0.16044227376909509</v>
      </c>
      <c r="H18">
        <v>0.62035457741830968</v>
      </c>
      <c r="I18">
        <v>0.20460571442285769</v>
      </c>
      <c r="J18">
        <v>0.23349981399925601</v>
      </c>
      <c r="K18">
        <v>2.2865083460333838E-2</v>
      </c>
      <c r="L18">
        <v>-6.7895311581246329E-3</v>
      </c>
      <c r="M18">
        <v>-2.797863991455966E-2</v>
      </c>
      <c r="N18">
        <v>-1.049197796791187E-2</v>
      </c>
      <c r="O18">
        <v>-0.44997885591542358</v>
      </c>
      <c r="P18">
        <v>2.17125988503954E-2</v>
      </c>
    </row>
    <row r="19" spans="1:16" x14ac:dyDescent="0.35">
      <c r="A19" s="1">
        <v>17</v>
      </c>
      <c r="B19" t="s">
        <v>23</v>
      </c>
      <c r="C19" t="s">
        <v>17</v>
      </c>
      <c r="D19">
        <v>-1.515250861003444E-2</v>
      </c>
      <c r="E19">
        <v>1.672969891879568E-2</v>
      </c>
      <c r="F19">
        <v>2.4875811503246009E-2</v>
      </c>
      <c r="G19">
        <v>-0.13439765759063041</v>
      </c>
      <c r="H19">
        <v>0.63848991395965582</v>
      </c>
      <c r="I19">
        <v>0.18523590894363581</v>
      </c>
      <c r="J19">
        <v>0.17568435073740299</v>
      </c>
      <c r="K19">
        <v>2.2595610382441528E-2</v>
      </c>
      <c r="L19">
        <v>-2.0728210912843648E-2</v>
      </c>
      <c r="M19">
        <v>-2.9390805563222249E-2</v>
      </c>
      <c r="N19">
        <v>1.681926727706911E-4</v>
      </c>
      <c r="O19">
        <v>-0.48220311281245132</v>
      </c>
      <c r="P19">
        <v>2.0043728174912699E-2</v>
      </c>
    </row>
    <row r="20" spans="1:16" x14ac:dyDescent="0.35">
      <c r="A20" s="1">
        <v>18</v>
      </c>
      <c r="B20" t="s">
        <v>23</v>
      </c>
      <c r="C20" t="s">
        <v>18</v>
      </c>
      <c r="D20">
        <v>1.8536426145704579E-2</v>
      </c>
      <c r="E20">
        <v>2.3074556298225191E-2</v>
      </c>
      <c r="F20">
        <v>-3.7917655670622677E-2</v>
      </c>
      <c r="G20">
        <v>-0.57434207336829346</v>
      </c>
      <c r="H20">
        <v>0.50903502814011259</v>
      </c>
      <c r="I20">
        <v>0.1915437101748407</v>
      </c>
      <c r="J20">
        <v>0.16554162216648871</v>
      </c>
      <c r="K20">
        <v>3.5076236304945219E-2</v>
      </c>
      <c r="L20">
        <v>5.9574190296761177E-2</v>
      </c>
      <c r="M20">
        <v>-2.4114528458113831E-2</v>
      </c>
      <c r="N20">
        <v>-7.600926403705615E-3</v>
      </c>
      <c r="O20">
        <v>-0.29209912039648162</v>
      </c>
      <c r="P20">
        <v>3.1592670370681482E-2</v>
      </c>
    </row>
    <row r="21" spans="1:16" x14ac:dyDescent="0.35">
      <c r="A21" s="1">
        <v>19</v>
      </c>
      <c r="B21" t="s">
        <v>23</v>
      </c>
      <c r="C21" t="s">
        <v>19</v>
      </c>
      <c r="D21">
        <v>-2.9275509102036409E-2</v>
      </c>
      <c r="E21">
        <v>1.987956751827007E-2</v>
      </c>
      <c r="F21">
        <v>1.7794631178524711E-2</v>
      </c>
      <c r="G21">
        <v>-0.1359327037308149</v>
      </c>
      <c r="H21">
        <v>0.66069125076500301</v>
      </c>
      <c r="I21">
        <v>0.18996959187836751</v>
      </c>
      <c r="J21">
        <v>0.17738749354997421</v>
      </c>
      <c r="K21">
        <v>1.9657902631610529E-2</v>
      </c>
      <c r="L21">
        <v>-6.3052092208368826E-3</v>
      </c>
      <c r="M21">
        <v>-2.2275545102180411E-2</v>
      </c>
      <c r="N21">
        <v>-3.6197904791619171E-3</v>
      </c>
      <c r="O21">
        <v>-0.46545939783759133</v>
      </c>
      <c r="P21">
        <v>2.4983811935247738E-2</v>
      </c>
    </row>
    <row r="22" spans="1:16" x14ac:dyDescent="0.35">
      <c r="A22" s="1">
        <v>20</v>
      </c>
      <c r="B22" t="s">
        <v>24</v>
      </c>
      <c r="C22" t="s">
        <v>16</v>
      </c>
      <c r="D22">
        <v>-0.11691569966279861</v>
      </c>
      <c r="E22">
        <v>1.6471169884679539E-2</v>
      </c>
      <c r="F22">
        <v>-4.4424081696326792E-2</v>
      </c>
      <c r="G22">
        <v>-0.1735992223968896</v>
      </c>
      <c r="H22">
        <v>0.602997995991984</v>
      </c>
      <c r="I22">
        <v>0.2078254713018852</v>
      </c>
      <c r="J22">
        <v>0.25969668678674712</v>
      </c>
      <c r="K22">
        <v>1.2226992907971629E-2</v>
      </c>
      <c r="L22">
        <v>-5.7060708242832967E-3</v>
      </c>
      <c r="M22">
        <v>-1.9554414217656871E-2</v>
      </c>
      <c r="N22">
        <v>-1.377259909039636E-2</v>
      </c>
      <c r="O22">
        <v>-0.39284307537230151</v>
      </c>
      <c r="P22">
        <v>5.5533342133368526E-3</v>
      </c>
    </row>
    <row r="23" spans="1:16" x14ac:dyDescent="0.35">
      <c r="A23" s="1">
        <v>21</v>
      </c>
      <c r="B23" t="s">
        <v>24</v>
      </c>
      <c r="C23" t="s">
        <v>17</v>
      </c>
      <c r="D23">
        <v>-2.9652406609626439E-2</v>
      </c>
      <c r="E23">
        <v>1.352280609122436E-2</v>
      </c>
      <c r="F23">
        <v>2.1328405313621259E-2</v>
      </c>
      <c r="G23">
        <v>-0.13550924603698411</v>
      </c>
      <c r="H23">
        <v>0.62553811815247262</v>
      </c>
      <c r="I23">
        <v>0.1893248532994132</v>
      </c>
      <c r="J23">
        <v>0.2331476845907384</v>
      </c>
      <c r="K23">
        <v>1.5708734834939338E-2</v>
      </c>
      <c r="L23">
        <v>-1.3959607838431349E-2</v>
      </c>
      <c r="M23">
        <v>-2.979295117180469E-2</v>
      </c>
      <c r="N23">
        <v>3.7079188316753268E-3</v>
      </c>
      <c r="O23">
        <v>-0.43793906375625502</v>
      </c>
      <c r="P23">
        <v>1.0202536810147241E-2</v>
      </c>
    </row>
    <row r="24" spans="1:16" x14ac:dyDescent="0.35">
      <c r="A24" s="1">
        <v>22</v>
      </c>
      <c r="B24" t="s">
        <v>24</v>
      </c>
      <c r="C24" t="s">
        <v>18</v>
      </c>
      <c r="D24">
        <v>-9.5529982119928485E-4</v>
      </c>
      <c r="E24">
        <v>2.283436333745335E-2</v>
      </c>
      <c r="F24">
        <v>-3.6807315229260923E-2</v>
      </c>
      <c r="G24">
        <v>-0.60451240204960821</v>
      </c>
      <c r="H24">
        <v>0.48099408397633592</v>
      </c>
      <c r="I24">
        <v>0.1968706754827019</v>
      </c>
      <c r="J24">
        <v>0.22843867375469501</v>
      </c>
      <c r="K24">
        <v>2.6421801687206752E-2</v>
      </c>
      <c r="L24">
        <v>5.8292681170724683E-2</v>
      </c>
      <c r="M24">
        <v>-2.6860139440557759E-2</v>
      </c>
      <c r="N24">
        <v>-8.4959379837519344E-3</v>
      </c>
      <c r="O24">
        <v>-0.2449447877791511</v>
      </c>
      <c r="P24">
        <v>3.3106596426385707E-2</v>
      </c>
    </row>
    <row r="25" spans="1:16" x14ac:dyDescent="0.35">
      <c r="A25" s="1">
        <v>23</v>
      </c>
      <c r="B25" t="s">
        <v>24</v>
      </c>
      <c r="C25" t="s">
        <v>19</v>
      </c>
      <c r="D25">
        <v>6.6935307741230968E-3</v>
      </c>
      <c r="E25">
        <v>6.4089856359425441E-3</v>
      </c>
      <c r="F25">
        <v>1.7659270637082551E-3</v>
      </c>
      <c r="G25">
        <v>-8.7628382513530056E-2</v>
      </c>
      <c r="H25">
        <v>0.56743522974091898</v>
      </c>
      <c r="I25">
        <v>0.18787121548486191</v>
      </c>
      <c r="J25">
        <v>0.20792396769587079</v>
      </c>
      <c r="K25">
        <v>1.9015756063024249E-3</v>
      </c>
      <c r="L25">
        <v>-1.6697538790155161E-2</v>
      </c>
      <c r="M25">
        <v>-3.9327901311605247E-2</v>
      </c>
      <c r="N25">
        <v>4.8748994995979986E-3</v>
      </c>
      <c r="O25">
        <v>-0.34301215604862417</v>
      </c>
      <c r="P25">
        <v>3.663278653114613E-3</v>
      </c>
    </row>
    <row r="27" spans="1:16" x14ac:dyDescent="0.35">
      <c r="D27">
        <f>SUM(D29:D52)</f>
        <v>6</v>
      </c>
      <c r="E27">
        <f t="shared" ref="E27:P27" si="0">SUM(E29:E52)</f>
        <v>1</v>
      </c>
      <c r="F27">
        <f t="shared" si="0"/>
        <v>3</v>
      </c>
      <c r="G27">
        <f t="shared" si="0"/>
        <v>17</v>
      </c>
      <c r="H27">
        <f t="shared" si="0"/>
        <v>16</v>
      </c>
      <c r="I27">
        <f t="shared" si="0"/>
        <v>24</v>
      </c>
      <c r="J27">
        <f t="shared" si="0"/>
        <v>24</v>
      </c>
      <c r="K27">
        <f t="shared" si="0"/>
        <v>0</v>
      </c>
      <c r="L27">
        <f t="shared" si="0"/>
        <v>5</v>
      </c>
      <c r="M27">
        <f t="shared" si="0"/>
        <v>0</v>
      </c>
      <c r="N27">
        <f t="shared" si="0"/>
        <v>1</v>
      </c>
      <c r="O27">
        <f t="shared" si="0"/>
        <v>16</v>
      </c>
      <c r="P27">
        <f t="shared" si="0"/>
        <v>0</v>
      </c>
    </row>
    <row r="29" spans="1:16" x14ac:dyDescent="0.35">
      <c r="D29">
        <f>IF(ABS(D2)&gt;0.1, 1, 0)</f>
        <v>0</v>
      </c>
      <c r="E29">
        <f t="shared" ref="E29:P29" si="1">IF(ABS(E2)&gt;0.1, 1, 0)</f>
        <v>1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1</v>
      </c>
      <c r="J29">
        <f t="shared" si="1"/>
        <v>1</v>
      </c>
      <c r="K29">
        <f t="shared" si="1"/>
        <v>0</v>
      </c>
      <c r="L29">
        <f t="shared" si="1"/>
        <v>1</v>
      </c>
      <c r="M29">
        <f t="shared" si="1"/>
        <v>0</v>
      </c>
      <c r="N29">
        <f t="shared" si="1"/>
        <v>0</v>
      </c>
      <c r="O29">
        <f t="shared" si="1"/>
        <v>0</v>
      </c>
      <c r="P29">
        <f t="shared" si="1"/>
        <v>0</v>
      </c>
    </row>
    <row r="30" spans="1:16" x14ac:dyDescent="0.35">
      <c r="D30">
        <f t="shared" ref="D30:P45" si="2">IF(ABS(D3)&gt;0.1, 1, 0)</f>
        <v>0</v>
      </c>
      <c r="E30">
        <f t="shared" si="2"/>
        <v>0</v>
      </c>
      <c r="F30">
        <f t="shared" si="2"/>
        <v>0</v>
      </c>
      <c r="G30">
        <f t="shared" si="2"/>
        <v>0</v>
      </c>
      <c r="H30">
        <f t="shared" si="2"/>
        <v>0</v>
      </c>
      <c r="I30">
        <f t="shared" si="2"/>
        <v>1</v>
      </c>
      <c r="J30">
        <f t="shared" si="2"/>
        <v>1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  <c r="P30">
        <f t="shared" si="2"/>
        <v>0</v>
      </c>
    </row>
    <row r="31" spans="1:16" x14ac:dyDescent="0.35">
      <c r="D31">
        <f t="shared" si="2"/>
        <v>0</v>
      </c>
      <c r="E31">
        <f t="shared" si="2"/>
        <v>0</v>
      </c>
      <c r="F31">
        <f t="shared" si="2"/>
        <v>0</v>
      </c>
      <c r="G31">
        <f t="shared" si="2"/>
        <v>1</v>
      </c>
      <c r="H31">
        <f t="shared" si="2"/>
        <v>0</v>
      </c>
      <c r="I31">
        <f t="shared" si="2"/>
        <v>1</v>
      </c>
      <c r="J31">
        <f t="shared" si="2"/>
        <v>1</v>
      </c>
      <c r="K31">
        <f t="shared" si="2"/>
        <v>0</v>
      </c>
      <c r="L31">
        <f t="shared" si="2"/>
        <v>0</v>
      </c>
      <c r="M31">
        <f t="shared" si="2"/>
        <v>0</v>
      </c>
      <c r="N31">
        <f t="shared" si="2"/>
        <v>0</v>
      </c>
      <c r="O31">
        <f t="shared" si="2"/>
        <v>0</v>
      </c>
      <c r="P31">
        <f t="shared" si="2"/>
        <v>0</v>
      </c>
    </row>
    <row r="32" spans="1:16" x14ac:dyDescent="0.35">
      <c r="D32">
        <f t="shared" si="2"/>
        <v>0</v>
      </c>
      <c r="E32">
        <f t="shared" si="2"/>
        <v>0</v>
      </c>
      <c r="F32">
        <f t="shared" si="2"/>
        <v>0</v>
      </c>
      <c r="G32">
        <f t="shared" si="2"/>
        <v>0</v>
      </c>
      <c r="H32">
        <f t="shared" si="2"/>
        <v>0</v>
      </c>
      <c r="I32">
        <f t="shared" si="2"/>
        <v>1</v>
      </c>
      <c r="J32">
        <f t="shared" si="2"/>
        <v>1</v>
      </c>
      <c r="K32">
        <f t="shared" si="2"/>
        <v>0</v>
      </c>
      <c r="L32">
        <f t="shared" si="2"/>
        <v>1</v>
      </c>
      <c r="M32">
        <f t="shared" si="2"/>
        <v>0</v>
      </c>
      <c r="N32">
        <f t="shared" si="2"/>
        <v>0</v>
      </c>
      <c r="O32">
        <f t="shared" si="2"/>
        <v>0</v>
      </c>
      <c r="P32">
        <f t="shared" si="2"/>
        <v>0</v>
      </c>
    </row>
    <row r="33" spans="4:16" x14ac:dyDescent="0.35">
      <c r="D33">
        <f t="shared" si="2"/>
        <v>0</v>
      </c>
      <c r="E33">
        <f t="shared" si="2"/>
        <v>0</v>
      </c>
      <c r="F33">
        <f t="shared" si="2"/>
        <v>0</v>
      </c>
      <c r="G33">
        <f t="shared" si="2"/>
        <v>0</v>
      </c>
      <c r="H33">
        <f t="shared" si="2"/>
        <v>0</v>
      </c>
      <c r="I33">
        <f t="shared" si="2"/>
        <v>1</v>
      </c>
      <c r="J33">
        <f t="shared" si="2"/>
        <v>1</v>
      </c>
      <c r="K33">
        <f t="shared" si="2"/>
        <v>0</v>
      </c>
      <c r="L33">
        <f t="shared" si="2"/>
        <v>0</v>
      </c>
      <c r="M33">
        <f t="shared" si="2"/>
        <v>0</v>
      </c>
      <c r="N33">
        <f t="shared" si="2"/>
        <v>0</v>
      </c>
      <c r="O33">
        <f t="shared" si="2"/>
        <v>0</v>
      </c>
      <c r="P33">
        <f t="shared" si="2"/>
        <v>0</v>
      </c>
    </row>
    <row r="34" spans="4:16" x14ac:dyDescent="0.35">
      <c r="D34">
        <f t="shared" si="2"/>
        <v>0</v>
      </c>
      <c r="E34">
        <f t="shared" si="2"/>
        <v>0</v>
      </c>
      <c r="F34">
        <f t="shared" si="2"/>
        <v>0</v>
      </c>
      <c r="G34">
        <f t="shared" si="2"/>
        <v>0</v>
      </c>
      <c r="H34">
        <f t="shared" si="2"/>
        <v>0</v>
      </c>
      <c r="I34">
        <f t="shared" si="2"/>
        <v>1</v>
      </c>
      <c r="J34">
        <f t="shared" si="2"/>
        <v>1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2"/>
        <v>0</v>
      </c>
      <c r="P34">
        <f t="shared" si="2"/>
        <v>0</v>
      </c>
    </row>
    <row r="35" spans="4:16" x14ac:dyDescent="0.35">
      <c r="D35">
        <f t="shared" si="2"/>
        <v>0</v>
      </c>
      <c r="E35">
        <f t="shared" si="2"/>
        <v>0</v>
      </c>
      <c r="F35">
        <f t="shared" si="2"/>
        <v>0</v>
      </c>
      <c r="G35">
        <f t="shared" si="2"/>
        <v>1</v>
      </c>
      <c r="H35">
        <f t="shared" si="2"/>
        <v>0</v>
      </c>
      <c r="I35">
        <f t="shared" si="2"/>
        <v>1</v>
      </c>
      <c r="J35">
        <f t="shared" si="2"/>
        <v>1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</row>
    <row r="36" spans="4:16" x14ac:dyDescent="0.35">
      <c r="D36">
        <f t="shared" si="2"/>
        <v>0</v>
      </c>
      <c r="E36">
        <f t="shared" si="2"/>
        <v>0</v>
      </c>
      <c r="F36">
        <f t="shared" si="2"/>
        <v>0</v>
      </c>
      <c r="G36">
        <f t="shared" si="2"/>
        <v>0</v>
      </c>
      <c r="H36">
        <f t="shared" si="2"/>
        <v>0</v>
      </c>
      <c r="I36">
        <f t="shared" si="2"/>
        <v>1</v>
      </c>
      <c r="J36">
        <f t="shared" si="2"/>
        <v>1</v>
      </c>
      <c r="K36">
        <f t="shared" si="2"/>
        <v>0</v>
      </c>
      <c r="L36">
        <f t="shared" si="2"/>
        <v>0</v>
      </c>
      <c r="M36">
        <f t="shared" si="2"/>
        <v>0</v>
      </c>
      <c r="N36">
        <f t="shared" si="2"/>
        <v>0</v>
      </c>
      <c r="O36">
        <f t="shared" si="2"/>
        <v>0</v>
      </c>
      <c r="P36">
        <f t="shared" si="2"/>
        <v>0</v>
      </c>
    </row>
    <row r="37" spans="4:16" x14ac:dyDescent="0.35">
      <c r="D37">
        <f t="shared" si="2"/>
        <v>0</v>
      </c>
      <c r="E37">
        <f t="shared" si="2"/>
        <v>0</v>
      </c>
      <c r="F37">
        <f t="shared" si="2"/>
        <v>0</v>
      </c>
      <c r="G37">
        <f t="shared" si="2"/>
        <v>1</v>
      </c>
      <c r="H37">
        <f t="shared" si="2"/>
        <v>1</v>
      </c>
      <c r="I37">
        <f t="shared" si="2"/>
        <v>1</v>
      </c>
      <c r="J37">
        <f t="shared" si="2"/>
        <v>1</v>
      </c>
      <c r="K37">
        <f t="shared" si="2"/>
        <v>0</v>
      </c>
      <c r="L37">
        <f t="shared" si="2"/>
        <v>0</v>
      </c>
      <c r="M37">
        <f t="shared" si="2"/>
        <v>0</v>
      </c>
      <c r="N37">
        <f t="shared" si="2"/>
        <v>0</v>
      </c>
      <c r="O37">
        <f t="shared" si="2"/>
        <v>1</v>
      </c>
      <c r="P37">
        <f t="shared" si="2"/>
        <v>0</v>
      </c>
    </row>
    <row r="38" spans="4:16" x14ac:dyDescent="0.35">
      <c r="D38">
        <f t="shared" si="2"/>
        <v>0</v>
      </c>
      <c r="E38">
        <f t="shared" si="2"/>
        <v>0</v>
      </c>
      <c r="F38">
        <f t="shared" si="2"/>
        <v>0</v>
      </c>
      <c r="G38">
        <f t="shared" si="2"/>
        <v>1</v>
      </c>
      <c r="H38">
        <f t="shared" si="2"/>
        <v>1</v>
      </c>
      <c r="I38">
        <f t="shared" si="2"/>
        <v>1</v>
      </c>
      <c r="J38">
        <f t="shared" si="2"/>
        <v>1</v>
      </c>
      <c r="K38">
        <f t="shared" si="2"/>
        <v>0</v>
      </c>
      <c r="L38">
        <f t="shared" si="2"/>
        <v>0</v>
      </c>
      <c r="M38">
        <f t="shared" si="2"/>
        <v>0</v>
      </c>
      <c r="N38">
        <f t="shared" si="2"/>
        <v>0</v>
      </c>
      <c r="O38">
        <f t="shared" si="2"/>
        <v>1</v>
      </c>
      <c r="P38">
        <f t="shared" si="2"/>
        <v>0</v>
      </c>
    </row>
    <row r="39" spans="4:16" x14ac:dyDescent="0.35">
      <c r="D39">
        <f t="shared" si="2"/>
        <v>0</v>
      </c>
      <c r="E39">
        <f t="shared" si="2"/>
        <v>0</v>
      </c>
      <c r="F39">
        <f t="shared" si="2"/>
        <v>0</v>
      </c>
      <c r="G39">
        <f t="shared" si="2"/>
        <v>1</v>
      </c>
      <c r="H39">
        <f t="shared" si="2"/>
        <v>1</v>
      </c>
      <c r="I39">
        <f t="shared" si="2"/>
        <v>1</v>
      </c>
      <c r="J39">
        <f t="shared" si="2"/>
        <v>1</v>
      </c>
      <c r="K39">
        <f t="shared" si="2"/>
        <v>0</v>
      </c>
      <c r="L39">
        <f t="shared" si="2"/>
        <v>0</v>
      </c>
      <c r="M39">
        <f t="shared" si="2"/>
        <v>0</v>
      </c>
      <c r="N39">
        <f t="shared" si="2"/>
        <v>0</v>
      </c>
      <c r="O39">
        <f t="shared" si="2"/>
        <v>1</v>
      </c>
      <c r="P39">
        <f t="shared" si="2"/>
        <v>0</v>
      </c>
    </row>
    <row r="40" spans="4:16" x14ac:dyDescent="0.35"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1</v>
      </c>
      <c r="H40">
        <f t="shared" si="2"/>
        <v>1</v>
      </c>
      <c r="I40">
        <f t="shared" si="2"/>
        <v>1</v>
      </c>
      <c r="J40">
        <f t="shared" si="2"/>
        <v>1</v>
      </c>
      <c r="K40">
        <f t="shared" si="2"/>
        <v>0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1</v>
      </c>
      <c r="P40">
        <f t="shared" si="2"/>
        <v>0</v>
      </c>
    </row>
    <row r="41" spans="4:16" x14ac:dyDescent="0.35">
      <c r="D41">
        <f t="shared" si="2"/>
        <v>1</v>
      </c>
      <c r="E41">
        <f t="shared" si="2"/>
        <v>0</v>
      </c>
      <c r="F41">
        <f t="shared" si="2"/>
        <v>0</v>
      </c>
      <c r="G41">
        <f t="shared" si="2"/>
        <v>1</v>
      </c>
      <c r="H41">
        <f t="shared" si="2"/>
        <v>1</v>
      </c>
      <c r="I41">
        <f t="shared" si="2"/>
        <v>1</v>
      </c>
      <c r="J41">
        <f t="shared" si="2"/>
        <v>1</v>
      </c>
      <c r="K41">
        <f t="shared" si="2"/>
        <v>0</v>
      </c>
      <c r="L41">
        <f t="shared" si="2"/>
        <v>1</v>
      </c>
      <c r="M41">
        <f t="shared" si="2"/>
        <v>0</v>
      </c>
      <c r="N41">
        <f t="shared" si="2"/>
        <v>0</v>
      </c>
      <c r="O41">
        <f t="shared" si="2"/>
        <v>1</v>
      </c>
      <c r="P41">
        <f t="shared" si="2"/>
        <v>0</v>
      </c>
    </row>
    <row r="42" spans="4:16" x14ac:dyDescent="0.35">
      <c r="D42">
        <f t="shared" si="2"/>
        <v>1</v>
      </c>
      <c r="E42">
        <f t="shared" si="2"/>
        <v>0</v>
      </c>
      <c r="F42">
        <f t="shared" si="2"/>
        <v>1</v>
      </c>
      <c r="G42">
        <f t="shared" si="2"/>
        <v>1</v>
      </c>
      <c r="H42">
        <f t="shared" si="2"/>
        <v>1</v>
      </c>
      <c r="I42">
        <f t="shared" si="2"/>
        <v>1</v>
      </c>
      <c r="J42">
        <f t="shared" si="2"/>
        <v>1</v>
      </c>
      <c r="K42">
        <f t="shared" si="2"/>
        <v>0</v>
      </c>
      <c r="L42">
        <f t="shared" si="2"/>
        <v>1</v>
      </c>
      <c r="M42">
        <f t="shared" si="2"/>
        <v>0</v>
      </c>
      <c r="N42">
        <f t="shared" si="2"/>
        <v>0</v>
      </c>
      <c r="O42">
        <f t="shared" si="2"/>
        <v>1</v>
      </c>
      <c r="P42">
        <f t="shared" si="2"/>
        <v>0</v>
      </c>
    </row>
    <row r="43" spans="4:16" x14ac:dyDescent="0.35">
      <c r="D43">
        <f t="shared" si="2"/>
        <v>1</v>
      </c>
      <c r="E43">
        <f t="shared" si="2"/>
        <v>0</v>
      </c>
      <c r="F43">
        <f t="shared" si="2"/>
        <v>1</v>
      </c>
      <c r="G43">
        <f t="shared" si="2"/>
        <v>1</v>
      </c>
      <c r="H43">
        <f t="shared" si="2"/>
        <v>1</v>
      </c>
      <c r="I43">
        <f t="shared" si="2"/>
        <v>1</v>
      </c>
      <c r="J43">
        <f t="shared" si="2"/>
        <v>1</v>
      </c>
      <c r="K43">
        <f t="shared" si="2"/>
        <v>0</v>
      </c>
      <c r="L43">
        <f t="shared" si="2"/>
        <v>0</v>
      </c>
      <c r="M43">
        <f t="shared" si="2"/>
        <v>0</v>
      </c>
      <c r="N43">
        <f t="shared" si="2"/>
        <v>1</v>
      </c>
      <c r="O43">
        <f t="shared" si="2"/>
        <v>1</v>
      </c>
      <c r="P43">
        <f t="shared" si="2"/>
        <v>0</v>
      </c>
    </row>
    <row r="44" spans="4:16" x14ac:dyDescent="0.35">
      <c r="D44">
        <f t="shared" si="2"/>
        <v>1</v>
      </c>
      <c r="E44">
        <f t="shared" si="2"/>
        <v>0</v>
      </c>
      <c r="F44">
        <f t="shared" si="2"/>
        <v>1</v>
      </c>
      <c r="G44">
        <f t="shared" si="2"/>
        <v>1</v>
      </c>
      <c r="H44">
        <f t="shared" si="2"/>
        <v>1</v>
      </c>
      <c r="I44">
        <f t="shared" si="2"/>
        <v>1</v>
      </c>
      <c r="J44">
        <f t="shared" si="2"/>
        <v>1</v>
      </c>
      <c r="K44">
        <f t="shared" si="2"/>
        <v>0</v>
      </c>
      <c r="L44">
        <f t="shared" si="2"/>
        <v>1</v>
      </c>
      <c r="M44">
        <f t="shared" si="2"/>
        <v>0</v>
      </c>
      <c r="N44">
        <f t="shared" si="2"/>
        <v>0</v>
      </c>
      <c r="O44">
        <f t="shared" si="2"/>
        <v>1</v>
      </c>
      <c r="P44">
        <f t="shared" si="2"/>
        <v>0</v>
      </c>
    </row>
    <row r="45" spans="4:16" x14ac:dyDescent="0.35">
      <c r="D45">
        <f t="shared" si="2"/>
        <v>1</v>
      </c>
      <c r="E45">
        <f t="shared" si="2"/>
        <v>0</v>
      </c>
      <c r="F45">
        <f t="shared" si="2"/>
        <v>0</v>
      </c>
      <c r="G45">
        <f t="shared" si="2"/>
        <v>1</v>
      </c>
      <c r="H45">
        <f t="shared" si="2"/>
        <v>1</v>
      </c>
      <c r="I45">
        <f t="shared" si="2"/>
        <v>1</v>
      </c>
      <c r="J45">
        <f t="shared" si="2"/>
        <v>1</v>
      </c>
      <c r="K45">
        <f t="shared" si="2"/>
        <v>0</v>
      </c>
      <c r="L45">
        <f t="shared" si="2"/>
        <v>0</v>
      </c>
      <c r="M45">
        <f t="shared" si="2"/>
        <v>0</v>
      </c>
      <c r="N45">
        <f t="shared" si="2"/>
        <v>0</v>
      </c>
      <c r="O45">
        <f t="shared" si="2"/>
        <v>1</v>
      </c>
      <c r="P45">
        <f t="shared" si="2"/>
        <v>0</v>
      </c>
    </row>
    <row r="46" spans="4:16" x14ac:dyDescent="0.35">
      <c r="D46">
        <f t="shared" ref="D46:P52" si="3">IF(ABS(D19)&gt;0.1, 1, 0)</f>
        <v>0</v>
      </c>
      <c r="E46">
        <f t="shared" si="3"/>
        <v>0</v>
      </c>
      <c r="F46">
        <f t="shared" si="3"/>
        <v>0</v>
      </c>
      <c r="G46">
        <f t="shared" si="3"/>
        <v>1</v>
      </c>
      <c r="H46">
        <f t="shared" si="3"/>
        <v>1</v>
      </c>
      <c r="I46">
        <f t="shared" si="3"/>
        <v>1</v>
      </c>
      <c r="J46">
        <f t="shared" si="3"/>
        <v>1</v>
      </c>
      <c r="K46">
        <f t="shared" si="3"/>
        <v>0</v>
      </c>
      <c r="L46">
        <f t="shared" si="3"/>
        <v>0</v>
      </c>
      <c r="M46">
        <f t="shared" si="3"/>
        <v>0</v>
      </c>
      <c r="N46">
        <f t="shared" si="3"/>
        <v>0</v>
      </c>
      <c r="O46">
        <f t="shared" si="3"/>
        <v>1</v>
      </c>
      <c r="P46">
        <f t="shared" si="3"/>
        <v>0</v>
      </c>
    </row>
    <row r="47" spans="4:16" x14ac:dyDescent="0.35">
      <c r="D47">
        <f t="shared" si="3"/>
        <v>0</v>
      </c>
      <c r="E47">
        <f t="shared" si="3"/>
        <v>0</v>
      </c>
      <c r="F47">
        <f t="shared" si="3"/>
        <v>0</v>
      </c>
      <c r="G47">
        <f t="shared" si="3"/>
        <v>1</v>
      </c>
      <c r="H47">
        <f t="shared" si="3"/>
        <v>1</v>
      </c>
      <c r="I47">
        <f t="shared" si="3"/>
        <v>1</v>
      </c>
      <c r="J47">
        <f t="shared" si="3"/>
        <v>1</v>
      </c>
      <c r="K47">
        <f t="shared" si="3"/>
        <v>0</v>
      </c>
      <c r="L47">
        <f t="shared" si="3"/>
        <v>0</v>
      </c>
      <c r="M47">
        <f t="shared" si="3"/>
        <v>0</v>
      </c>
      <c r="N47">
        <f t="shared" si="3"/>
        <v>0</v>
      </c>
      <c r="O47">
        <f t="shared" si="3"/>
        <v>1</v>
      </c>
      <c r="P47">
        <f t="shared" si="3"/>
        <v>0</v>
      </c>
    </row>
    <row r="48" spans="4:16" x14ac:dyDescent="0.35">
      <c r="D48">
        <f t="shared" si="3"/>
        <v>0</v>
      </c>
      <c r="E48">
        <f t="shared" si="3"/>
        <v>0</v>
      </c>
      <c r="F48">
        <f t="shared" si="3"/>
        <v>0</v>
      </c>
      <c r="G48">
        <f t="shared" si="3"/>
        <v>1</v>
      </c>
      <c r="H48">
        <f t="shared" si="3"/>
        <v>1</v>
      </c>
      <c r="I48">
        <f t="shared" si="3"/>
        <v>1</v>
      </c>
      <c r="J48">
        <f t="shared" si="3"/>
        <v>1</v>
      </c>
      <c r="K48">
        <f t="shared" si="3"/>
        <v>0</v>
      </c>
      <c r="L48">
        <f t="shared" si="3"/>
        <v>0</v>
      </c>
      <c r="M48">
        <f t="shared" si="3"/>
        <v>0</v>
      </c>
      <c r="N48">
        <f t="shared" si="3"/>
        <v>0</v>
      </c>
      <c r="O48">
        <f t="shared" si="3"/>
        <v>1</v>
      </c>
      <c r="P48">
        <f t="shared" si="3"/>
        <v>0</v>
      </c>
    </row>
    <row r="49" spans="4:16" x14ac:dyDescent="0.35">
      <c r="D49">
        <f t="shared" si="3"/>
        <v>1</v>
      </c>
      <c r="E49">
        <f t="shared" si="3"/>
        <v>0</v>
      </c>
      <c r="F49">
        <f t="shared" si="3"/>
        <v>0</v>
      </c>
      <c r="G49">
        <f t="shared" si="3"/>
        <v>1</v>
      </c>
      <c r="H49">
        <f t="shared" si="3"/>
        <v>1</v>
      </c>
      <c r="I49">
        <f t="shared" si="3"/>
        <v>1</v>
      </c>
      <c r="J49">
        <f t="shared" si="3"/>
        <v>1</v>
      </c>
      <c r="K49">
        <f t="shared" si="3"/>
        <v>0</v>
      </c>
      <c r="L49">
        <f t="shared" si="3"/>
        <v>0</v>
      </c>
      <c r="M49">
        <f t="shared" si="3"/>
        <v>0</v>
      </c>
      <c r="N49">
        <f t="shared" si="3"/>
        <v>0</v>
      </c>
      <c r="O49">
        <f t="shared" si="3"/>
        <v>1</v>
      </c>
      <c r="P49">
        <f t="shared" si="3"/>
        <v>0</v>
      </c>
    </row>
    <row r="50" spans="4:16" x14ac:dyDescent="0.35">
      <c r="D50">
        <f t="shared" si="3"/>
        <v>0</v>
      </c>
      <c r="E50">
        <f t="shared" si="3"/>
        <v>0</v>
      </c>
      <c r="F50">
        <f t="shared" si="3"/>
        <v>0</v>
      </c>
      <c r="G50">
        <f t="shared" si="3"/>
        <v>1</v>
      </c>
      <c r="H50">
        <f t="shared" si="3"/>
        <v>1</v>
      </c>
      <c r="I50">
        <f t="shared" si="3"/>
        <v>1</v>
      </c>
      <c r="J50">
        <f t="shared" si="3"/>
        <v>1</v>
      </c>
      <c r="K50">
        <f t="shared" si="3"/>
        <v>0</v>
      </c>
      <c r="L50">
        <f t="shared" si="3"/>
        <v>0</v>
      </c>
      <c r="M50">
        <f t="shared" si="3"/>
        <v>0</v>
      </c>
      <c r="N50">
        <f t="shared" si="3"/>
        <v>0</v>
      </c>
      <c r="O50">
        <f t="shared" si="3"/>
        <v>1</v>
      </c>
      <c r="P50">
        <f t="shared" si="3"/>
        <v>0</v>
      </c>
    </row>
    <row r="51" spans="4:16" x14ac:dyDescent="0.35">
      <c r="D51">
        <f t="shared" si="3"/>
        <v>0</v>
      </c>
      <c r="E51">
        <f t="shared" si="3"/>
        <v>0</v>
      </c>
      <c r="F51">
        <f t="shared" si="3"/>
        <v>0</v>
      </c>
      <c r="G51">
        <f t="shared" si="3"/>
        <v>1</v>
      </c>
      <c r="H51">
        <f t="shared" si="3"/>
        <v>1</v>
      </c>
      <c r="I51">
        <f t="shared" si="3"/>
        <v>1</v>
      </c>
      <c r="J51">
        <f t="shared" si="3"/>
        <v>1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1</v>
      </c>
      <c r="P51">
        <f t="shared" si="3"/>
        <v>0</v>
      </c>
    </row>
    <row r="52" spans="4:16" x14ac:dyDescent="0.35">
      <c r="D52">
        <f t="shared" si="3"/>
        <v>0</v>
      </c>
      <c r="E52">
        <f t="shared" si="3"/>
        <v>0</v>
      </c>
      <c r="F52">
        <f t="shared" si="3"/>
        <v>0</v>
      </c>
      <c r="G52">
        <f t="shared" si="3"/>
        <v>0</v>
      </c>
      <c r="H52">
        <f t="shared" si="3"/>
        <v>1</v>
      </c>
      <c r="I52">
        <f t="shared" si="3"/>
        <v>1</v>
      </c>
      <c r="J52">
        <f t="shared" si="3"/>
        <v>1</v>
      </c>
      <c r="K52">
        <f t="shared" si="3"/>
        <v>0</v>
      </c>
      <c r="L52">
        <f t="shared" si="3"/>
        <v>0</v>
      </c>
      <c r="M52">
        <f t="shared" si="3"/>
        <v>0</v>
      </c>
      <c r="N52">
        <f t="shared" si="3"/>
        <v>0</v>
      </c>
      <c r="O52">
        <f t="shared" si="3"/>
        <v>1</v>
      </c>
      <c r="P52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Bhagwat, Sarang Sunil</cp:lastModifiedBy>
  <dcterms:created xsi:type="dcterms:W3CDTF">2024-12-23T21:22:28Z</dcterms:created>
  <dcterms:modified xsi:type="dcterms:W3CDTF">2024-12-24T00:16:32Z</dcterms:modified>
</cp:coreProperties>
</file>